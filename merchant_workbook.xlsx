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ownloads\"/>
    </mc:Choice>
  </mc:AlternateContent>
  <bookViews>
    <workbookView xWindow="0" yWindow="0" windowWidth="16380" windowHeight="8190" tabRatio="500" activeTab="1"/>
  </bookViews>
  <sheets>
    <sheet name="Rules_and_Assumptions" sheetId="1" r:id="rId1"/>
    <sheet name="Master" sheetId="2" r:id="rId2"/>
    <sheet name="Merchant_Region_Map" sheetId="3" r:id="rId3"/>
    <sheet name="Daily_Merchant_Pivot" sheetId="4" r:id="rId4"/>
    <sheet name="Summarising Pivot" sheetId="5" r:id="rId5"/>
    <sheet name="Count Vs Count Unique" sheetId="6" r:id="rId6"/>
  </sheets>
  <externalReferences>
    <externalReference r:id="rId7"/>
  </externalReferences>
  <calcPr calcId="152511"/>
  <pivotCaches>
    <pivotCache cacheId="28" r:id="rId8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" i="2" l="1"/>
  <c r="K2" i="2"/>
  <c r="J2" i="2"/>
  <c r="D2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O31" i="4"/>
  <c r="AN31" i="4"/>
  <c r="K101" i="2" s="1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K454" i="2" s="1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K229" i="2" s="1"/>
  <c r="M229" i="2" s="1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O29" i="4"/>
  <c r="AN29" i="4"/>
  <c r="AM29" i="4"/>
  <c r="AL29" i="4"/>
  <c r="K412" i="2" s="1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K65" i="2" s="1"/>
  <c r="M65" i="2" s="1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K303" i="2" s="1"/>
  <c r="W28" i="4"/>
  <c r="V28" i="4"/>
  <c r="K22" i="2" s="1"/>
  <c r="M22" i="2" s="1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K104" i="2" s="1"/>
  <c r="M104" i="2" s="1"/>
  <c r="AC27" i="4"/>
  <c r="AB27" i="4"/>
  <c r="AA27" i="4"/>
  <c r="Z27" i="4"/>
  <c r="Y27" i="4"/>
  <c r="X27" i="4"/>
  <c r="W27" i="4"/>
  <c r="V27" i="4"/>
  <c r="K462" i="2" s="1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K133" i="2" s="1"/>
  <c r="M133" i="2" s="1"/>
  <c r="G26" i="4"/>
  <c r="F26" i="4"/>
  <c r="E26" i="4"/>
  <c r="D26" i="4"/>
  <c r="C26" i="4"/>
  <c r="B26" i="4"/>
  <c r="AO25" i="4"/>
  <c r="AN25" i="4"/>
  <c r="K488" i="2" s="1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K214" i="2" s="1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O24" i="4"/>
  <c r="AN24" i="4"/>
  <c r="K199" i="2" s="1"/>
  <c r="M199" i="2" s="1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O23" i="4"/>
  <c r="AN23" i="4"/>
  <c r="AM23" i="4"/>
  <c r="AL23" i="4"/>
  <c r="AK23" i="4"/>
  <c r="AJ23" i="4"/>
  <c r="AI23" i="4"/>
  <c r="K245" i="2" s="1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K241" i="2" s="1"/>
  <c r="G23" i="4"/>
  <c r="K452" i="2" s="1"/>
  <c r="F23" i="4"/>
  <c r="E23" i="4"/>
  <c r="D23" i="4"/>
  <c r="C23" i="4"/>
  <c r="B23" i="4"/>
  <c r="AO22" i="4"/>
  <c r="AN22" i="4"/>
  <c r="AM22" i="4"/>
  <c r="AL22" i="4"/>
  <c r="K195" i="2" s="1"/>
  <c r="M195" i="2" s="1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K391" i="2" s="1"/>
  <c r="M391" i="2" s="1"/>
  <c r="U21" i="4"/>
  <c r="T21" i="4"/>
  <c r="S21" i="4"/>
  <c r="R21" i="4"/>
  <c r="Q21" i="4"/>
  <c r="P21" i="4"/>
  <c r="O21" i="4"/>
  <c r="K426" i="2" s="1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K223" i="2" s="1"/>
  <c r="M223" i="2" s="1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O18" i="4"/>
  <c r="AN18" i="4"/>
  <c r="K114" i="2" s="1"/>
  <c r="AM18" i="4"/>
  <c r="AL18" i="4"/>
  <c r="K347" i="2" s="1"/>
  <c r="M347" i="2" s="1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K248" i="2" s="1"/>
  <c r="J18" i="4"/>
  <c r="I18" i="4"/>
  <c r="H18" i="4"/>
  <c r="G18" i="4"/>
  <c r="F18" i="4"/>
  <c r="E18" i="4"/>
  <c r="D18" i="4"/>
  <c r="C18" i="4"/>
  <c r="B18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K99" i="2" s="1"/>
  <c r="R17" i="4"/>
  <c r="Q17" i="4"/>
  <c r="P17" i="4"/>
  <c r="O17" i="4"/>
  <c r="N17" i="4"/>
  <c r="K119" i="2" s="1"/>
  <c r="M17" i="4"/>
  <c r="L17" i="4"/>
  <c r="K17" i="4"/>
  <c r="J17" i="4"/>
  <c r="I17" i="4"/>
  <c r="H17" i="4"/>
  <c r="K168" i="2" s="1"/>
  <c r="M168" i="2" s="1"/>
  <c r="G17" i="4"/>
  <c r="F17" i="4"/>
  <c r="E17" i="4"/>
  <c r="D17" i="4"/>
  <c r="C17" i="4"/>
  <c r="B17" i="4"/>
  <c r="AO16" i="4"/>
  <c r="AN16" i="4"/>
  <c r="AM16" i="4"/>
  <c r="AL16" i="4"/>
  <c r="AK16" i="4"/>
  <c r="AJ16" i="4"/>
  <c r="AI16" i="4"/>
  <c r="AH16" i="4"/>
  <c r="AG16" i="4"/>
  <c r="AF16" i="4"/>
  <c r="K476" i="2" s="1"/>
  <c r="AE16" i="4"/>
  <c r="K116" i="2" s="1"/>
  <c r="M116" i="2" s="1"/>
  <c r="AD16" i="4"/>
  <c r="AC16" i="4"/>
  <c r="AB16" i="4"/>
  <c r="AA16" i="4"/>
  <c r="K510" i="2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O15" i="4"/>
  <c r="AN15" i="4"/>
  <c r="AM15" i="4"/>
  <c r="AL15" i="4"/>
  <c r="AK15" i="4"/>
  <c r="AJ15" i="4"/>
  <c r="AI15" i="4"/>
  <c r="AH15" i="4"/>
  <c r="AG15" i="4"/>
  <c r="AF15" i="4"/>
  <c r="AE15" i="4"/>
  <c r="K170" i="2" s="1"/>
  <c r="AD15" i="4"/>
  <c r="AC15" i="4"/>
  <c r="AB15" i="4"/>
  <c r="AA15" i="4"/>
  <c r="Z15" i="4"/>
  <c r="Y15" i="4"/>
  <c r="X15" i="4"/>
  <c r="W15" i="4"/>
  <c r="K380" i="2" s="1"/>
  <c r="V15" i="4"/>
  <c r="U15" i="4"/>
  <c r="T15" i="4"/>
  <c r="S15" i="4"/>
  <c r="R15" i="4"/>
  <c r="Q15" i="4"/>
  <c r="P15" i="4"/>
  <c r="K159" i="2" s="1"/>
  <c r="M159" i="2" s="1"/>
  <c r="O15" i="4"/>
  <c r="N15" i="4"/>
  <c r="M15" i="4"/>
  <c r="L15" i="4"/>
  <c r="K15" i="4"/>
  <c r="K296" i="2" s="1"/>
  <c r="J15" i="4"/>
  <c r="I15" i="4"/>
  <c r="H15" i="4"/>
  <c r="G15" i="4"/>
  <c r="F15" i="4"/>
  <c r="E15" i="4"/>
  <c r="D15" i="4"/>
  <c r="C15" i="4"/>
  <c r="K215" i="2" s="1"/>
  <c r="B15" i="4"/>
  <c r="AO14" i="4"/>
  <c r="AN14" i="4"/>
  <c r="AM14" i="4"/>
  <c r="AL14" i="4"/>
  <c r="AK14" i="4"/>
  <c r="AJ14" i="4"/>
  <c r="AI14" i="4"/>
  <c r="AH14" i="4"/>
  <c r="AG14" i="4"/>
  <c r="AF14" i="4"/>
  <c r="K498" i="2" s="1"/>
  <c r="AE14" i="4"/>
  <c r="AD14" i="4"/>
  <c r="AC14" i="4"/>
  <c r="AB14" i="4"/>
  <c r="AA14" i="4"/>
  <c r="K336" i="2" s="1"/>
  <c r="Z14" i="4"/>
  <c r="Y14" i="4"/>
  <c r="X14" i="4"/>
  <c r="W14" i="4"/>
  <c r="K500" i="2" s="1"/>
  <c r="V14" i="4"/>
  <c r="U14" i="4"/>
  <c r="T14" i="4"/>
  <c r="S14" i="4"/>
  <c r="K197" i="2" s="1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O12" i="4"/>
  <c r="AN12" i="4"/>
  <c r="AM12" i="4"/>
  <c r="K122" i="2" s="1"/>
  <c r="M122" i="2" s="1"/>
  <c r="AL12" i="4"/>
  <c r="AK12" i="4"/>
  <c r="AJ12" i="4"/>
  <c r="AI12" i="4"/>
  <c r="AH12" i="4"/>
  <c r="AG12" i="4"/>
  <c r="AF12" i="4"/>
  <c r="AE12" i="4"/>
  <c r="AD12" i="4"/>
  <c r="AC12" i="4"/>
  <c r="AB12" i="4"/>
  <c r="K268" i="2" s="1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K162" i="2" s="1"/>
  <c r="I12" i="4"/>
  <c r="H12" i="4"/>
  <c r="G12" i="4"/>
  <c r="F12" i="4"/>
  <c r="E12" i="4"/>
  <c r="D12" i="4"/>
  <c r="C12" i="4"/>
  <c r="B12" i="4"/>
  <c r="AO11" i="4"/>
  <c r="AN11" i="4"/>
  <c r="AM11" i="4"/>
  <c r="AL11" i="4"/>
  <c r="AK11" i="4"/>
  <c r="AJ11" i="4"/>
  <c r="AI11" i="4"/>
  <c r="AH11" i="4"/>
  <c r="AG11" i="4"/>
  <c r="AF11" i="4"/>
  <c r="AE11" i="4"/>
  <c r="K49" i="2" s="1"/>
  <c r="AD11" i="4"/>
  <c r="K113" i="2" s="1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O10" i="4"/>
  <c r="K198" i="2" s="1"/>
  <c r="AN10" i="4"/>
  <c r="AM10" i="4"/>
  <c r="AL10" i="4"/>
  <c r="AK10" i="4"/>
  <c r="AJ10" i="4"/>
  <c r="AI10" i="4"/>
  <c r="AH10" i="4"/>
  <c r="AG10" i="4"/>
  <c r="AF10" i="4"/>
  <c r="AE10" i="4"/>
  <c r="K161" i="2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K350" i="2" s="1"/>
  <c r="M350" i="2" s="1"/>
  <c r="M10" i="4"/>
  <c r="L10" i="4"/>
  <c r="K10" i="4"/>
  <c r="J10" i="4"/>
  <c r="I10" i="4"/>
  <c r="H10" i="4"/>
  <c r="G10" i="4"/>
  <c r="F10" i="4"/>
  <c r="E10" i="4"/>
  <c r="D10" i="4"/>
  <c r="C10" i="4"/>
  <c r="B10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K427" i="2" s="1"/>
  <c r="N9" i="4"/>
  <c r="M9" i="4"/>
  <c r="L9" i="4"/>
  <c r="K9" i="4"/>
  <c r="J9" i="4"/>
  <c r="I9" i="4"/>
  <c r="H9" i="4"/>
  <c r="G9" i="4"/>
  <c r="F9" i="4"/>
  <c r="E9" i="4"/>
  <c r="D9" i="4"/>
  <c r="C9" i="4"/>
  <c r="B9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K202" i="2" s="1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K474" i="2" s="1"/>
  <c r="I8" i="4"/>
  <c r="H8" i="4"/>
  <c r="G8" i="4"/>
  <c r="F8" i="4"/>
  <c r="E8" i="4"/>
  <c r="D8" i="4"/>
  <c r="C8" i="4"/>
  <c r="B8" i="4"/>
  <c r="AO7" i="4"/>
  <c r="AN7" i="4"/>
  <c r="AM7" i="4"/>
  <c r="AL7" i="4"/>
  <c r="AK7" i="4"/>
  <c r="AJ7" i="4"/>
  <c r="AI7" i="4"/>
  <c r="K153" i="2" s="1"/>
  <c r="AH7" i="4"/>
  <c r="AG7" i="4"/>
  <c r="AF7" i="4"/>
  <c r="AE7" i="4"/>
  <c r="AD7" i="4"/>
  <c r="AC7" i="4"/>
  <c r="AB7" i="4"/>
  <c r="AA7" i="4"/>
  <c r="Z7" i="4"/>
  <c r="K19" i="2" s="1"/>
  <c r="Y7" i="4"/>
  <c r="X7" i="4"/>
  <c r="W7" i="4"/>
  <c r="V7" i="4"/>
  <c r="K298" i="2" s="1"/>
  <c r="U7" i="4"/>
  <c r="T7" i="4"/>
  <c r="S7" i="4"/>
  <c r="R7" i="4"/>
  <c r="Q7" i="4"/>
  <c r="K86" i="2" s="1"/>
  <c r="P7" i="4"/>
  <c r="O7" i="4"/>
  <c r="N7" i="4"/>
  <c r="M7" i="4"/>
  <c r="L7" i="4"/>
  <c r="K7" i="4"/>
  <c r="J7" i="4"/>
  <c r="K264" i="2" s="1"/>
  <c r="I7" i="4"/>
  <c r="H7" i="4"/>
  <c r="G7" i="4"/>
  <c r="F7" i="4"/>
  <c r="E7" i="4"/>
  <c r="D7" i="4"/>
  <c r="C7" i="4"/>
  <c r="B7" i="4"/>
  <c r="K379" i="2" s="1"/>
  <c r="AO6" i="4"/>
  <c r="AN6" i="4"/>
  <c r="AM6" i="4"/>
  <c r="AL6" i="4"/>
  <c r="K56" i="2" s="1"/>
  <c r="AK6" i="4"/>
  <c r="AJ6" i="4"/>
  <c r="AI6" i="4"/>
  <c r="AH6" i="4"/>
  <c r="K390" i="2" s="1"/>
  <c r="AG6" i="4"/>
  <c r="K107" i="2" s="1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K448" i="2" s="1"/>
  <c r="M448" i="2" s="1"/>
  <c r="P6" i="4"/>
  <c r="O6" i="4"/>
  <c r="N6" i="4"/>
  <c r="M6" i="4"/>
  <c r="L6" i="4"/>
  <c r="K6" i="4"/>
  <c r="J6" i="4"/>
  <c r="K176" i="2" s="1"/>
  <c r="I6" i="4"/>
  <c r="H6" i="4"/>
  <c r="G6" i="4"/>
  <c r="F6" i="4"/>
  <c r="E6" i="4"/>
  <c r="D6" i="4"/>
  <c r="C6" i="4"/>
  <c r="B6" i="4"/>
  <c r="AO5" i="4"/>
  <c r="K205" i="2" s="1"/>
  <c r="AN5" i="4"/>
  <c r="AM5" i="4"/>
  <c r="AL5" i="4"/>
  <c r="K450" i="2" s="1"/>
  <c r="AK5" i="4"/>
  <c r="AJ5" i="4"/>
  <c r="AI5" i="4"/>
  <c r="AH5" i="4"/>
  <c r="AG5" i="4"/>
  <c r="K477" i="2" s="1"/>
  <c r="AF5" i="4"/>
  <c r="AE5" i="4"/>
  <c r="AD5" i="4"/>
  <c r="AC5" i="4"/>
  <c r="AB5" i="4"/>
  <c r="AA5" i="4"/>
  <c r="K156" i="2" s="1"/>
  <c r="Z5" i="4"/>
  <c r="Y5" i="4"/>
  <c r="X5" i="4"/>
  <c r="W5" i="4"/>
  <c r="V5" i="4"/>
  <c r="U5" i="4"/>
  <c r="T5" i="4"/>
  <c r="S5" i="4"/>
  <c r="R5" i="4"/>
  <c r="K319" i="2" s="1"/>
  <c r="Q5" i="4"/>
  <c r="K332" i="2" s="1"/>
  <c r="P5" i="4"/>
  <c r="O5" i="4"/>
  <c r="N5" i="4"/>
  <c r="M5" i="4"/>
  <c r="L5" i="4"/>
  <c r="K5" i="4"/>
  <c r="J5" i="4"/>
  <c r="I5" i="4"/>
  <c r="K109" i="2" s="1"/>
  <c r="H5" i="4"/>
  <c r="G5" i="4"/>
  <c r="F5" i="4"/>
  <c r="E5" i="4"/>
  <c r="D5" i="4"/>
  <c r="C5" i="4"/>
  <c r="B5" i="4"/>
  <c r="AO4" i="4"/>
  <c r="K526" i="2" s="1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K132" i="2" s="1"/>
  <c r="S4" i="4"/>
  <c r="R4" i="4"/>
  <c r="K494" i="2" s="1"/>
  <c r="Q4" i="4"/>
  <c r="K506" i="2" s="1"/>
  <c r="P4" i="4"/>
  <c r="O4" i="4"/>
  <c r="K89" i="2" s="1"/>
  <c r="N4" i="4"/>
  <c r="M4" i="4"/>
  <c r="L4" i="4"/>
  <c r="K4" i="4"/>
  <c r="J4" i="4"/>
  <c r="I4" i="4"/>
  <c r="K504" i="2" s="1"/>
  <c r="H4" i="4"/>
  <c r="G4" i="4"/>
  <c r="F4" i="4"/>
  <c r="E4" i="4"/>
  <c r="D4" i="4"/>
  <c r="C4" i="4"/>
  <c r="B4" i="4"/>
  <c r="AO3" i="4"/>
  <c r="K53" i="2" s="1"/>
  <c r="M53" i="2" s="1"/>
  <c r="AN3" i="4"/>
  <c r="AM3" i="4"/>
  <c r="AL3" i="4"/>
  <c r="K529" i="2" s="1"/>
  <c r="AK3" i="4"/>
  <c r="AJ3" i="4"/>
  <c r="K514" i="2" s="1"/>
  <c r="AI3" i="4"/>
  <c r="AH3" i="4"/>
  <c r="AG3" i="4"/>
  <c r="AF3" i="4"/>
  <c r="AE3" i="4"/>
  <c r="AD3" i="4"/>
  <c r="AC3" i="4"/>
  <c r="AB3" i="4"/>
  <c r="K43" i="2" s="1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K211" i="2" s="1"/>
  <c r="I3" i="4"/>
  <c r="H3" i="4"/>
  <c r="G3" i="4"/>
  <c r="F3" i="4"/>
  <c r="E3" i="4"/>
  <c r="D3" i="4"/>
  <c r="C3" i="4"/>
  <c r="B3" i="4"/>
  <c r="L532" i="2"/>
  <c r="J532" i="2"/>
  <c r="L531" i="2"/>
  <c r="J531" i="2"/>
  <c r="K531" i="2" s="1"/>
  <c r="L530" i="2"/>
  <c r="J530" i="2"/>
  <c r="L529" i="2"/>
  <c r="J529" i="2"/>
  <c r="L528" i="2"/>
  <c r="K528" i="2"/>
  <c r="J528" i="2"/>
  <c r="L527" i="2"/>
  <c r="J527" i="2"/>
  <c r="L526" i="2"/>
  <c r="J526" i="2"/>
  <c r="L525" i="2"/>
  <c r="J525" i="2"/>
  <c r="L524" i="2"/>
  <c r="J524" i="2"/>
  <c r="L523" i="2"/>
  <c r="K523" i="2"/>
  <c r="J523" i="2"/>
  <c r="L522" i="2"/>
  <c r="J522" i="2"/>
  <c r="L521" i="2"/>
  <c r="J521" i="2"/>
  <c r="K521" i="2" s="1"/>
  <c r="L520" i="2"/>
  <c r="J520" i="2"/>
  <c r="L519" i="2"/>
  <c r="J519" i="2"/>
  <c r="L518" i="2"/>
  <c r="J518" i="2"/>
  <c r="L517" i="2"/>
  <c r="J517" i="2"/>
  <c r="K517" i="2" s="1"/>
  <c r="L516" i="2"/>
  <c r="J516" i="2"/>
  <c r="L515" i="2"/>
  <c r="J515" i="2"/>
  <c r="L514" i="2"/>
  <c r="J514" i="2"/>
  <c r="L513" i="2"/>
  <c r="J513" i="2"/>
  <c r="L512" i="2"/>
  <c r="J512" i="2"/>
  <c r="L511" i="2"/>
  <c r="J511" i="2"/>
  <c r="L510" i="2"/>
  <c r="J510" i="2"/>
  <c r="L509" i="2"/>
  <c r="J509" i="2"/>
  <c r="L508" i="2"/>
  <c r="J508" i="2"/>
  <c r="L507" i="2"/>
  <c r="J507" i="2"/>
  <c r="L506" i="2"/>
  <c r="J506" i="2"/>
  <c r="L505" i="2"/>
  <c r="J505" i="2"/>
  <c r="L504" i="2"/>
  <c r="J504" i="2"/>
  <c r="L503" i="2"/>
  <c r="J503" i="2"/>
  <c r="L502" i="2"/>
  <c r="J502" i="2"/>
  <c r="L501" i="2"/>
  <c r="J501" i="2"/>
  <c r="L500" i="2"/>
  <c r="J500" i="2"/>
  <c r="L499" i="2"/>
  <c r="J499" i="2"/>
  <c r="K499" i="2" s="1"/>
  <c r="M499" i="2" s="1"/>
  <c r="L498" i="2"/>
  <c r="J498" i="2"/>
  <c r="L497" i="2"/>
  <c r="J497" i="2"/>
  <c r="L496" i="2"/>
  <c r="J496" i="2"/>
  <c r="L495" i="2"/>
  <c r="J495" i="2"/>
  <c r="L494" i="2"/>
  <c r="J494" i="2"/>
  <c r="L493" i="2"/>
  <c r="J493" i="2"/>
  <c r="L492" i="2"/>
  <c r="J492" i="2"/>
  <c r="L491" i="2"/>
  <c r="J491" i="2"/>
  <c r="L490" i="2"/>
  <c r="J490" i="2"/>
  <c r="K490" i="2" s="1"/>
  <c r="L489" i="2"/>
  <c r="J489" i="2"/>
  <c r="K489" i="2" s="1"/>
  <c r="L488" i="2"/>
  <c r="J488" i="2"/>
  <c r="L487" i="2"/>
  <c r="J487" i="2"/>
  <c r="L486" i="2"/>
  <c r="J486" i="2"/>
  <c r="L485" i="2"/>
  <c r="J485" i="2"/>
  <c r="L484" i="2"/>
  <c r="J484" i="2"/>
  <c r="L483" i="2"/>
  <c r="J483" i="2"/>
  <c r="L482" i="2"/>
  <c r="J482" i="2"/>
  <c r="K482" i="2" s="1"/>
  <c r="M482" i="2" s="1"/>
  <c r="L481" i="2"/>
  <c r="J481" i="2"/>
  <c r="K481" i="2" s="1"/>
  <c r="L480" i="2"/>
  <c r="J480" i="2"/>
  <c r="L479" i="2"/>
  <c r="J479" i="2"/>
  <c r="L478" i="2"/>
  <c r="J478" i="2"/>
  <c r="K478" i="2" s="1"/>
  <c r="L477" i="2"/>
  <c r="J477" i="2"/>
  <c r="L476" i="2"/>
  <c r="J476" i="2"/>
  <c r="L475" i="2"/>
  <c r="J475" i="2"/>
  <c r="L474" i="2"/>
  <c r="J474" i="2"/>
  <c r="L473" i="2"/>
  <c r="J473" i="2"/>
  <c r="L472" i="2"/>
  <c r="J472" i="2"/>
  <c r="L471" i="2"/>
  <c r="J471" i="2"/>
  <c r="L470" i="2"/>
  <c r="J470" i="2"/>
  <c r="K470" i="2" s="1"/>
  <c r="L469" i="2"/>
  <c r="J469" i="2"/>
  <c r="L468" i="2"/>
  <c r="J468" i="2"/>
  <c r="L467" i="2"/>
  <c r="J467" i="2"/>
  <c r="L466" i="2"/>
  <c r="J466" i="2"/>
  <c r="K466" i="2" s="1"/>
  <c r="L465" i="2"/>
  <c r="J465" i="2"/>
  <c r="L464" i="2"/>
  <c r="J464" i="2"/>
  <c r="L463" i="2"/>
  <c r="J463" i="2"/>
  <c r="L462" i="2"/>
  <c r="J462" i="2"/>
  <c r="L461" i="2"/>
  <c r="K461" i="2"/>
  <c r="J461" i="2"/>
  <c r="L460" i="2"/>
  <c r="J460" i="2"/>
  <c r="L459" i="2"/>
  <c r="K459" i="2"/>
  <c r="J459" i="2"/>
  <c r="L458" i="2"/>
  <c r="J458" i="2"/>
  <c r="L457" i="2"/>
  <c r="J457" i="2"/>
  <c r="L456" i="2"/>
  <c r="J456" i="2"/>
  <c r="L455" i="2"/>
  <c r="J455" i="2"/>
  <c r="L454" i="2"/>
  <c r="J454" i="2"/>
  <c r="L453" i="2"/>
  <c r="J453" i="2"/>
  <c r="L452" i="2"/>
  <c r="J452" i="2"/>
  <c r="L451" i="2"/>
  <c r="K451" i="2"/>
  <c r="J451" i="2"/>
  <c r="L450" i="2"/>
  <c r="J450" i="2"/>
  <c r="L449" i="2"/>
  <c r="J449" i="2"/>
  <c r="L448" i="2"/>
  <c r="J448" i="2"/>
  <c r="L447" i="2"/>
  <c r="J447" i="2"/>
  <c r="L446" i="2"/>
  <c r="J446" i="2"/>
  <c r="L445" i="2"/>
  <c r="J445" i="2"/>
  <c r="K445" i="2" s="1"/>
  <c r="L444" i="2"/>
  <c r="J444" i="2"/>
  <c r="L443" i="2"/>
  <c r="J443" i="2"/>
  <c r="K443" i="2" s="1"/>
  <c r="L442" i="2"/>
  <c r="J442" i="2"/>
  <c r="L441" i="2"/>
  <c r="J441" i="2"/>
  <c r="L440" i="2"/>
  <c r="J440" i="2"/>
  <c r="K440" i="2" s="1"/>
  <c r="L439" i="2"/>
  <c r="J439" i="2"/>
  <c r="L438" i="2"/>
  <c r="J438" i="2"/>
  <c r="L437" i="2"/>
  <c r="K437" i="2"/>
  <c r="J437" i="2"/>
  <c r="L436" i="2"/>
  <c r="J436" i="2"/>
  <c r="L435" i="2"/>
  <c r="J435" i="2"/>
  <c r="L434" i="2"/>
  <c r="K434" i="2"/>
  <c r="J434" i="2"/>
  <c r="L433" i="2"/>
  <c r="J433" i="2"/>
  <c r="L432" i="2"/>
  <c r="J432" i="2"/>
  <c r="L431" i="2"/>
  <c r="J431" i="2"/>
  <c r="L430" i="2"/>
  <c r="J430" i="2"/>
  <c r="K430" i="2" s="1"/>
  <c r="L429" i="2"/>
  <c r="J429" i="2"/>
  <c r="L428" i="2"/>
  <c r="J428" i="2"/>
  <c r="L427" i="2"/>
  <c r="J427" i="2"/>
  <c r="L426" i="2"/>
  <c r="J426" i="2"/>
  <c r="L425" i="2"/>
  <c r="J425" i="2"/>
  <c r="L424" i="2"/>
  <c r="K424" i="2"/>
  <c r="J424" i="2"/>
  <c r="L423" i="2"/>
  <c r="J423" i="2"/>
  <c r="L422" i="2"/>
  <c r="J422" i="2"/>
  <c r="L421" i="2"/>
  <c r="J421" i="2"/>
  <c r="L420" i="2"/>
  <c r="J420" i="2"/>
  <c r="K420" i="2" s="1"/>
  <c r="L419" i="2"/>
  <c r="J419" i="2"/>
  <c r="L418" i="2"/>
  <c r="K418" i="2"/>
  <c r="J418" i="2"/>
  <c r="L417" i="2"/>
  <c r="J417" i="2"/>
  <c r="K417" i="2" s="1"/>
  <c r="L416" i="2"/>
  <c r="K416" i="2"/>
  <c r="J416" i="2"/>
  <c r="L415" i="2"/>
  <c r="J415" i="2"/>
  <c r="K415" i="2" s="1"/>
  <c r="L414" i="2"/>
  <c r="J414" i="2"/>
  <c r="L413" i="2"/>
  <c r="K413" i="2"/>
  <c r="J413" i="2"/>
  <c r="L412" i="2"/>
  <c r="J412" i="2"/>
  <c r="L411" i="2"/>
  <c r="J411" i="2"/>
  <c r="K411" i="2" s="1"/>
  <c r="L410" i="2"/>
  <c r="J410" i="2"/>
  <c r="L409" i="2"/>
  <c r="J409" i="2"/>
  <c r="L408" i="2"/>
  <c r="J408" i="2"/>
  <c r="K408" i="2" s="1"/>
  <c r="M408" i="2" s="1"/>
  <c r="L407" i="2"/>
  <c r="J407" i="2"/>
  <c r="L406" i="2"/>
  <c r="J406" i="2"/>
  <c r="L405" i="2"/>
  <c r="J405" i="2"/>
  <c r="L404" i="2"/>
  <c r="J404" i="2"/>
  <c r="L403" i="2"/>
  <c r="J403" i="2"/>
  <c r="K403" i="2" s="1"/>
  <c r="L402" i="2"/>
  <c r="K402" i="2"/>
  <c r="J402" i="2"/>
  <c r="L401" i="2"/>
  <c r="J401" i="2"/>
  <c r="K401" i="2" s="1"/>
  <c r="L400" i="2"/>
  <c r="J400" i="2"/>
  <c r="K400" i="2" s="1"/>
  <c r="L399" i="2"/>
  <c r="J399" i="2"/>
  <c r="K399" i="2" s="1"/>
  <c r="L398" i="2"/>
  <c r="J398" i="2"/>
  <c r="K398" i="2" s="1"/>
  <c r="L397" i="2"/>
  <c r="J397" i="2"/>
  <c r="L396" i="2"/>
  <c r="J396" i="2"/>
  <c r="K396" i="2" s="1"/>
  <c r="L395" i="2"/>
  <c r="J395" i="2"/>
  <c r="L394" i="2"/>
  <c r="K394" i="2"/>
  <c r="J394" i="2"/>
  <c r="L393" i="2"/>
  <c r="J393" i="2"/>
  <c r="L392" i="2"/>
  <c r="K392" i="2"/>
  <c r="J392" i="2"/>
  <c r="L391" i="2"/>
  <c r="J391" i="2"/>
  <c r="L390" i="2"/>
  <c r="J390" i="2"/>
  <c r="L389" i="2"/>
  <c r="J389" i="2"/>
  <c r="K389" i="2" s="1"/>
  <c r="L388" i="2"/>
  <c r="J388" i="2"/>
  <c r="L387" i="2"/>
  <c r="K387" i="2"/>
  <c r="J387" i="2"/>
  <c r="L386" i="2"/>
  <c r="J386" i="2"/>
  <c r="L385" i="2"/>
  <c r="J385" i="2"/>
  <c r="L384" i="2"/>
  <c r="J384" i="2"/>
  <c r="L383" i="2"/>
  <c r="J383" i="2"/>
  <c r="L382" i="2"/>
  <c r="J382" i="2"/>
  <c r="L381" i="2"/>
  <c r="J381" i="2"/>
  <c r="K381" i="2" s="1"/>
  <c r="L380" i="2"/>
  <c r="J380" i="2"/>
  <c r="L379" i="2"/>
  <c r="J379" i="2"/>
  <c r="L378" i="2"/>
  <c r="J378" i="2"/>
  <c r="L377" i="2"/>
  <c r="J377" i="2"/>
  <c r="L376" i="2"/>
  <c r="J376" i="2"/>
  <c r="L375" i="2"/>
  <c r="J375" i="2"/>
  <c r="L374" i="2"/>
  <c r="J374" i="2"/>
  <c r="L373" i="2"/>
  <c r="J373" i="2"/>
  <c r="L372" i="2"/>
  <c r="J372" i="2"/>
  <c r="L371" i="2"/>
  <c r="J371" i="2"/>
  <c r="K371" i="2" s="1"/>
  <c r="M371" i="2" s="1"/>
  <c r="L370" i="2"/>
  <c r="K370" i="2"/>
  <c r="M370" i="2" s="1"/>
  <c r="J370" i="2"/>
  <c r="L369" i="2"/>
  <c r="J369" i="2"/>
  <c r="L368" i="2"/>
  <c r="J368" i="2"/>
  <c r="L367" i="2"/>
  <c r="J367" i="2"/>
  <c r="K367" i="2" s="1"/>
  <c r="L366" i="2"/>
  <c r="K366" i="2"/>
  <c r="J366" i="2"/>
  <c r="L365" i="2"/>
  <c r="J365" i="2"/>
  <c r="K365" i="2" s="1"/>
  <c r="M365" i="2" s="1"/>
  <c r="L364" i="2"/>
  <c r="J364" i="2"/>
  <c r="L363" i="2"/>
  <c r="J363" i="2"/>
  <c r="L362" i="2"/>
  <c r="J362" i="2"/>
  <c r="K362" i="2" s="1"/>
  <c r="L361" i="2"/>
  <c r="J361" i="2"/>
  <c r="L360" i="2"/>
  <c r="J360" i="2"/>
  <c r="K360" i="2" s="1"/>
  <c r="L359" i="2"/>
  <c r="J359" i="2"/>
  <c r="L358" i="2"/>
  <c r="J358" i="2"/>
  <c r="L357" i="2"/>
  <c r="J357" i="2"/>
  <c r="L356" i="2"/>
  <c r="K356" i="2"/>
  <c r="J356" i="2"/>
  <c r="L355" i="2"/>
  <c r="J355" i="2"/>
  <c r="L354" i="2"/>
  <c r="J354" i="2"/>
  <c r="L353" i="2"/>
  <c r="K353" i="2"/>
  <c r="M353" i="2" s="1"/>
  <c r="J353" i="2"/>
  <c r="L352" i="2"/>
  <c r="J352" i="2"/>
  <c r="L351" i="2"/>
  <c r="J351" i="2"/>
  <c r="K351" i="2" s="1"/>
  <c r="L350" i="2"/>
  <c r="J350" i="2"/>
  <c r="L349" i="2"/>
  <c r="J349" i="2"/>
  <c r="L348" i="2"/>
  <c r="J348" i="2"/>
  <c r="K348" i="2" s="1"/>
  <c r="L347" i="2"/>
  <c r="J347" i="2"/>
  <c r="L346" i="2"/>
  <c r="J346" i="2"/>
  <c r="L345" i="2"/>
  <c r="J345" i="2"/>
  <c r="L344" i="2"/>
  <c r="J344" i="2"/>
  <c r="K344" i="2" s="1"/>
  <c r="L343" i="2"/>
  <c r="J343" i="2"/>
  <c r="K343" i="2" s="1"/>
  <c r="L342" i="2"/>
  <c r="J342" i="2"/>
  <c r="L341" i="2"/>
  <c r="K341" i="2"/>
  <c r="M341" i="2" s="1"/>
  <c r="J341" i="2"/>
  <c r="L340" i="2"/>
  <c r="K340" i="2"/>
  <c r="J340" i="2"/>
  <c r="L339" i="2"/>
  <c r="J339" i="2"/>
  <c r="L338" i="2"/>
  <c r="J338" i="2"/>
  <c r="L337" i="2"/>
  <c r="J337" i="2"/>
  <c r="L336" i="2"/>
  <c r="J336" i="2"/>
  <c r="L335" i="2"/>
  <c r="J335" i="2"/>
  <c r="L334" i="2"/>
  <c r="K334" i="2"/>
  <c r="J334" i="2"/>
  <c r="L333" i="2"/>
  <c r="J333" i="2"/>
  <c r="K333" i="2" s="1"/>
  <c r="L332" i="2"/>
  <c r="J332" i="2"/>
  <c r="L331" i="2"/>
  <c r="J331" i="2"/>
  <c r="L330" i="2"/>
  <c r="J330" i="2"/>
  <c r="L329" i="2"/>
  <c r="J329" i="2"/>
  <c r="L328" i="2"/>
  <c r="J328" i="2"/>
  <c r="L327" i="2"/>
  <c r="J327" i="2"/>
  <c r="L326" i="2"/>
  <c r="J326" i="2"/>
  <c r="L325" i="2"/>
  <c r="J325" i="2"/>
  <c r="L324" i="2"/>
  <c r="J324" i="2"/>
  <c r="L323" i="2"/>
  <c r="J323" i="2"/>
  <c r="K323" i="2" s="1"/>
  <c r="L322" i="2"/>
  <c r="J322" i="2"/>
  <c r="L321" i="2"/>
  <c r="J321" i="2"/>
  <c r="L320" i="2"/>
  <c r="J320" i="2"/>
  <c r="L319" i="2"/>
  <c r="J319" i="2"/>
  <c r="L318" i="2"/>
  <c r="J318" i="2"/>
  <c r="K318" i="2" s="1"/>
  <c r="L317" i="2"/>
  <c r="J317" i="2"/>
  <c r="K317" i="2" s="1"/>
  <c r="M317" i="2" s="1"/>
  <c r="L316" i="2"/>
  <c r="J316" i="2"/>
  <c r="L315" i="2"/>
  <c r="J315" i="2"/>
  <c r="K315" i="2" s="1"/>
  <c r="L314" i="2"/>
  <c r="J314" i="2"/>
  <c r="L313" i="2"/>
  <c r="J313" i="2"/>
  <c r="L312" i="2"/>
  <c r="J312" i="2"/>
  <c r="K312" i="2" s="1"/>
  <c r="L311" i="2"/>
  <c r="J311" i="2"/>
  <c r="K311" i="2" s="1"/>
  <c r="L310" i="2"/>
  <c r="J310" i="2"/>
  <c r="K310" i="2" s="1"/>
  <c r="L309" i="2"/>
  <c r="J309" i="2"/>
  <c r="L308" i="2"/>
  <c r="J308" i="2"/>
  <c r="K308" i="2" s="1"/>
  <c r="M308" i="2" s="1"/>
  <c r="L307" i="2"/>
  <c r="J307" i="2"/>
  <c r="K307" i="2" s="1"/>
  <c r="L306" i="2"/>
  <c r="K306" i="2"/>
  <c r="J306" i="2"/>
  <c r="L305" i="2"/>
  <c r="J305" i="2"/>
  <c r="L304" i="2"/>
  <c r="J304" i="2"/>
  <c r="L303" i="2"/>
  <c r="J303" i="2"/>
  <c r="L302" i="2"/>
  <c r="J302" i="2"/>
  <c r="L301" i="2"/>
  <c r="K301" i="2"/>
  <c r="J301" i="2"/>
  <c r="L300" i="2"/>
  <c r="J300" i="2"/>
  <c r="L299" i="2"/>
  <c r="J299" i="2"/>
  <c r="K299" i="2" s="1"/>
  <c r="L298" i="2"/>
  <c r="J298" i="2"/>
  <c r="L297" i="2"/>
  <c r="J297" i="2"/>
  <c r="K297" i="2" s="1"/>
  <c r="L296" i="2"/>
  <c r="J296" i="2"/>
  <c r="L295" i="2"/>
  <c r="J295" i="2"/>
  <c r="L294" i="2"/>
  <c r="J294" i="2"/>
  <c r="K294" i="2" s="1"/>
  <c r="L293" i="2"/>
  <c r="J293" i="2"/>
  <c r="K293" i="2" s="1"/>
  <c r="L292" i="2"/>
  <c r="J292" i="2"/>
  <c r="L291" i="2"/>
  <c r="J291" i="2"/>
  <c r="L290" i="2"/>
  <c r="J290" i="2"/>
  <c r="L289" i="2"/>
  <c r="J289" i="2"/>
  <c r="L288" i="2"/>
  <c r="J288" i="2"/>
  <c r="L287" i="2"/>
  <c r="J287" i="2"/>
  <c r="K287" i="2" s="1"/>
  <c r="L286" i="2"/>
  <c r="J286" i="2"/>
  <c r="L285" i="2"/>
  <c r="J285" i="2"/>
  <c r="L284" i="2"/>
  <c r="J284" i="2"/>
  <c r="L283" i="2"/>
  <c r="J283" i="2"/>
  <c r="L282" i="2"/>
  <c r="J282" i="2"/>
  <c r="K282" i="2" s="1"/>
  <c r="L281" i="2"/>
  <c r="J281" i="2"/>
  <c r="L280" i="2"/>
  <c r="J280" i="2"/>
  <c r="L279" i="2"/>
  <c r="J279" i="2"/>
  <c r="K279" i="2" s="1"/>
  <c r="L278" i="2"/>
  <c r="J278" i="2"/>
  <c r="L277" i="2"/>
  <c r="J277" i="2"/>
  <c r="L276" i="2"/>
  <c r="J276" i="2"/>
  <c r="L275" i="2"/>
  <c r="J275" i="2"/>
  <c r="K275" i="2" s="1"/>
  <c r="L274" i="2"/>
  <c r="J274" i="2"/>
  <c r="L273" i="2"/>
  <c r="J273" i="2"/>
  <c r="L272" i="2"/>
  <c r="K272" i="2"/>
  <c r="J272" i="2"/>
  <c r="L271" i="2"/>
  <c r="J271" i="2"/>
  <c r="L270" i="2"/>
  <c r="J270" i="2"/>
  <c r="K270" i="2" s="1"/>
  <c r="L269" i="2"/>
  <c r="K269" i="2"/>
  <c r="J269" i="2"/>
  <c r="L268" i="2"/>
  <c r="J268" i="2"/>
  <c r="L267" i="2"/>
  <c r="J267" i="2"/>
  <c r="K267" i="2" s="1"/>
  <c r="L266" i="2"/>
  <c r="J266" i="2"/>
  <c r="L265" i="2"/>
  <c r="J265" i="2"/>
  <c r="K265" i="2" s="1"/>
  <c r="L264" i="2"/>
  <c r="J264" i="2"/>
  <c r="L263" i="2"/>
  <c r="J263" i="2"/>
  <c r="L262" i="2"/>
  <c r="J262" i="2"/>
  <c r="L261" i="2"/>
  <c r="K261" i="2"/>
  <c r="J261" i="2"/>
  <c r="L260" i="2"/>
  <c r="J260" i="2"/>
  <c r="L259" i="2"/>
  <c r="J259" i="2"/>
  <c r="L258" i="2"/>
  <c r="J258" i="2"/>
  <c r="L257" i="2"/>
  <c r="J257" i="2"/>
  <c r="L256" i="2"/>
  <c r="J256" i="2"/>
  <c r="L255" i="2"/>
  <c r="K255" i="2"/>
  <c r="J255" i="2"/>
  <c r="L254" i="2"/>
  <c r="J254" i="2"/>
  <c r="L253" i="2"/>
  <c r="J253" i="2"/>
  <c r="K253" i="2" s="1"/>
  <c r="M253" i="2" s="1"/>
  <c r="L252" i="2"/>
  <c r="J252" i="2"/>
  <c r="K252" i="2" s="1"/>
  <c r="L251" i="2"/>
  <c r="J251" i="2"/>
  <c r="L250" i="2"/>
  <c r="J250" i="2"/>
  <c r="L249" i="2"/>
  <c r="J249" i="2"/>
  <c r="L248" i="2"/>
  <c r="J248" i="2"/>
  <c r="L247" i="2"/>
  <c r="J247" i="2"/>
  <c r="L246" i="2"/>
  <c r="J246" i="2"/>
  <c r="L245" i="2"/>
  <c r="J245" i="2"/>
  <c r="L244" i="2"/>
  <c r="J244" i="2"/>
  <c r="L243" i="2"/>
  <c r="J243" i="2"/>
  <c r="K243" i="2" s="1"/>
  <c r="L242" i="2"/>
  <c r="J242" i="2"/>
  <c r="L241" i="2"/>
  <c r="J241" i="2"/>
  <c r="L240" i="2"/>
  <c r="J240" i="2"/>
  <c r="L239" i="2"/>
  <c r="J239" i="2"/>
  <c r="L238" i="2"/>
  <c r="J238" i="2"/>
  <c r="L237" i="2"/>
  <c r="J237" i="2"/>
  <c r="L236" i="2"/>
  <c r="J236" i="2"/>
  <c r="L235" i="2"/>
  <c r="J235" i="2"/>
  <c r="L234" i="2"/>
  <c r="J234" i="2"/>
  <c r="L233" i="2"/>
  <c r="J233" i="2"/>
  <c r="K233" i="2" s="1"/>
  <c r="L232" i="2"/>
  <c r="K232" i="2"/>
  <c r="J232" i="2"/>
  <c r="L231" i="2"/>
  <c r="J231" i="2"/>
  <c r="L230" i="2"/>
  <c r="J230" i="2"/>
  <c r="K230" i="2" s="1"/>
  <c r="M230" i="2" s="1"/>
  <c r="L229" i="2"/>
  <c r="J229" i="2"/>
  <c r="L228" i="2"/>
  <c r="J228" i="2"/>
  <c r="K228" i="2" s="1"/>
  <c r="L227" i="2"/>
  <c r="J227" i="2"/>
  <c r="L226" i="2"/>
  <c r="J226" i="2"/>
  <c r="L225" i="2"/>
  <c r="J225" i="2"/>
  <c r="L224" i="2"/>
  <c r="J224" i="2"/>
  <c r="L223" i="2"/>
  <c r="J223" i="2"/>
  <c r="L222" i="2"/>
  <c r="J222" i="2"/>
  <c r="L221" i="2"/>
  <c r="J221" i="2"/>
  <c r="L220" i="2"/>
  <c r="K220" i="2"/>
  <c r="J220" i="2"/>
  <c r="L219" i="2"/>
  <c r="J219" i="2"/>
  <c r="L218" i="2"/>
  <c r="K218" i="2"/>
  <c r="J218" i="2"/>
  <c r="L217" i="2"/>
  <c r="K217" i="2"/>
  <c r="J217" i="2"/>
  <c r="L216" i="2"/>
  <c r="J216" i="2"/>
  <c r="L215" i="2"/>
  <c r="J215" i="2"/>
  <c r="L214" i="2"/>
  <c r="J214" i="2"/>
  <c r="L213" i="2"/>
  <c r="J213" i="2"/>
  <c r="K213" i="2" s="1"/>
  <c r="L212" i="2"/>
  <c r="J212" i="2"/>
  <c r="K212" i="2" s="1"/>
  <c r="L211" i="2"/>
  <c r="J211" i="2"/>
  <c r="L210" i="2"/>
  <c r="J210" i="2"/>
  <c r="L209" i="2"/>
  <c r="J209" i="2"/>
  <c r="L208" i="2"/>
  <c r="J208" i="2"/>
  <c r="L207" i="2"/>
  <c r="J207" i="2"/>
  <c r="K207" i="2" s="1"/>
  <c r="L206" i="2"/>
  <c r="J206" i="2"/>
  <c r="L205" i="2"/>
  <c r="J205" i="2"/>
  <c r="L204" i="2"/>
  <c r="J204" i="2"/>
  <c r="L203" i="2"/>
  <c r="J203" i="2"/>
  <c r="L202" i="2"/>
  <c r="J202" i="2"/>
  <c r="L201" i="2"/>
  <c r="J201" i="2"/>
  <c r="L200" i="2"/>
  <c r="J200" i="2"/>
  <c r="L199" i="2"/>
  <c r="J199" i="2"/>
  <c r="L198" i="2"/>
  <c r="J198" i="2"/>
  <c r="L197" i="2"/>
  <c r="J197" i="2"/>
  <c r="L196" i="2"/>
  <c r="J196" i="2"/>
  <c r="L195" i="2"/>
  <c r="J195" i="2"/>
  <c r="L194" i="2"/>
  <c r="J194" i="2"/>
  <c r="L193" i="2"/>
  <c r="J193" i="2"/>
  <c r="L192" i="2"/>
  <c r="J192" i="2"/>
  <c r="K192" i="2" s="1"/>
  <c r="L191" i="2"/>
  <c r="J191" i="2"/>
  <c r="L190" i="2"/>
  <c r="J190" i="2"/>
  <c r="K190" i="2" s="1"/>
  <c r="L189" i="2"/>
  <c r="J189" i="2"/>
  <c r="L188" i="2"/>
  <c r="J188" i="2"/>
  <c r="L187" i="2"/>
  <c r="J187" i="2"/>
  <c r="L186" i="2"/>
  <c r="K186" i="2"/>
  <c r="J186" i="2"/>
  <c r="L185" i="2"/>
  <c r="J185" i="2"/>
  <c r="L184" i="2"/>
  <c r="J184" i="2"/>
  <c r="L183" i="2"/>
  <c r="J183" i="2"/>
  <c r="L182" i="2"/>
  <c r="J182" i="2"/>
  <c r="K182" i="2" s="1"/>
  <c r="L181" i="2"/>
  <c r="J181" i="2"/>
  <c r="L180" i="2"/>
  <c r="J180" i="2"/>
  <c r="L179" i="2"/>
  <c r="J179" i="2"/>
  <c r="L178" i="2"/>
  <c r="J178" i="2"/>
  <c r="L177" i="2"/>
  <c r="J177" i="2"/>
  <c r="L176" i="2"/>
  <c r="J176" i="2"/>
  <c r="L175" i="2"/>
  <c r="J175" i="2"/>
  <c r="K175" i="2" s="1"/>
  <c r="L174" i="2"/>
  <c r="J174" i="2"/>
  <c r="L173" i="2"/>
  <c r="J173" i="2"/>
  <c r="L172" i="2"/>
  <c r="J172" i="2"/>
  <c r="L171" i="2"/>
  <c r="J171" i="2"/>
  <c r="L170" i="2"/>
  <c r="J170" i="2"/>
  <c r="L169" i="2"/>
  <c r="J169" i="2"/>
  <c r="L168" i="2"/>
  <c r="J168" i="2"/>
  <c r="L167" i="2"/>
  <c r="J167" i="2"/>
  <c r="L166" i="2"/>
  <c r="J166" i="2"/>
  <c r="L165" i="2"/>
  <c r="K165" i="2"/>
  <c r="M165" i="2" s="1"/>
  <c r="J165" i="2"/>
  <c r="L164" i="2"/>
  <c r="K164" i="2"/>
  <c r="J164" i="2"/>
  <c r="L163" i="2"/>
  <c r="J163" i="2"/>
  <c r="L162" i="2"/>
  <c r="J162" i="2"/>
  <c r="L161" i="2"/>
  <c r="J161" i="2"/>
  <c r="L160" i="2"/>
  <c r="J160" i="2"/>
  <c r="L159" i="2"/>
  <c r="J159" i="2"/>
  <c r="L158" i="2"/>
  <c r="J158" i="2"/>
  <c r="K158" i="2" s="1"/>
  <c r="L157" i="2"/>
  <c r="K157" i="2"/>
  <c r="J157" i="2"/>
  <c r="L156" i="2"/>
  <c r="J156" i="2"/>
  <c r="L155" i="2"/>
  <c r="J155" i="2"/>
  <c r="K155" i="2" s="1"/>
  <c r="L154" i="2"/>
  <c r="K154" i="2"/>
  <c r="J154" i="2"/>
  <c r="L153" i="2"/>
  <c r="J153" i="2"/>
  <c r="L152" i="2"/>
  <c r="J152" i="2"/>
  <c r="L151" i="2"/>
  <c r="J151" i="2"/>
  <c r="K151" i="2" s="1"/>
  <c r="L150" i="2"/>
  <c r="J150" i="2"/>
  <c r="L149" i="2"/>
  <c r="J149" i="2"/>
  <c r="L148" i="2"/>
  <c r="J148" i="2"/>
  <c r="L147" i="2"/>
  <c r="J147" i="2"/>
  <c r="L146" i="2"/>
  <c r="J146" i="2"/>
  <c r="K146" i="2" s="1"/>
  <c r="L145" i="2"/>
  <c r="J145" i="2"/>
  <c r="L144" i="2"/>
  <c r="J144" i="2"/>
  <c r="K144" i="2" s="1"/>
  <c r="L143" i="2"/>
  <c r="J143" i="2"/>
  <c r="K143" i="2" s="1"/>
  <c r="M143" i="2" s="1"/>
  <c r="L142" i="2"/>
  <c r="J142" i="2"/>
  <c r="L141" i="2"/>
  <c r="J141" i="2"/>
  <c r="K141" i="2" s="1"/>
  <c r="L140" i="2"/>
  <c r="J140" i="2"/>
  <c r="L139" i="2"/>
  <c r="J139" i="2"/>
  <c r="K139" i="2" s="1"/>
  <c r="L138" i="2"/>
  <c r="J138" i="2"/>
  <c r="K138" i="2" s="1"/>
  <c r="L137" i="2"/>
  <c r="J137" i="2"/>
  <c r="K137" i="2" s="1"/>
  <c r="L136" i="2"/>
  <c r="J136" i="2"/>
  <c r="L135" i="2"/>
  <c r="K135" i="2"/>
  <c r="M135" i="2" s="1"/>
  <c r="J135" i="2"/>
  <c r="L134" i="2"/>
  <c r="J134" i="2"/>
  <c r="K134" i="2" s="1"/>
  <c r="L133" i="2"/>
  <c r="J133" i="2"/>
  <c r="L132" i="2"/>
  <c r="J132" i="2"/>
  <c r="L131" i="2"/>
  <c r="J131" i="2"/>
  <c r="K131" i="2" s="1"/>
  <c r="L130" i="2"/>
  <c r="J130" i="2"/>
  <c r="K130" i="2" s="1"/>
  <c r="L129" i="2"/>
  <c r="J129" i="2"/>
  <c r="L128" i="2"/>
  <c r="J128" i="2"/>
  <c r="K128" i="2" s="1"/>
  <c r="L127" i="2"/>
  <c r="K127" i="2"/>
  <c r="J127" i="2"/>
  <c r="L126" i="2"/>
  <c r="J126" i="2"/>
  <c r="K126" i="2" s="1"/>
  <c r="M126" i="2" s="1"/>
  <c r="L125" i="2"/>
  <c r="K125" i="2"/>
  <c r="J125" i="2"/>
  <c r="L124" i="2"/>
  <c r="J124" i="2"/>
  <c r="L123" i="2"/>
  <c r="J123" i="2"/>
  <c r="L122" i="2"/>
  <c r="J122" i="2"/>
  <c r="L121" i="2"/>
  <c r="J121" i="2"/>
  <c r="L120" i="2"/>
  <c r="J120" i="2"/>
  <c r="L119" i="2"/>
  <c r="J119" i="2"/>
  <c r="L118" i="2"/>
  <c r="J118" i="2"/>
  <c r="L117" i="2"/>
  <c r="J117" i="2"/>
  <c r="K117" i="2" s="1"/>
  <c r="L116" i="2"/>
  <c r="J116" i="2"/>
  <c r="L115" i="2"/>
  <c r="J115" i="2"/>
  <c r="K115" i="2" s="1"/>
  <c r="L114" i="2"/>
  <c r="J114" i="2"/>
  <c r="L113" i="2"/>
  <c r="J113" i="2"/>
  <c r="L112" i="2"/>
  <c r="J112" i="2"/>
  <c r="L111" i="2"/>
  <c r="J111" i="2"/>
  <c r="L110" i="2"/>
  <c r="K110" i="2"/>
  <c r="J110" i="2"/>
  <c r="L109" i="2"/>
  <c r="J109" i="2"/>
  <c r="L108" i="2"/>
  <c r="K108" i="2"/>
  <c r="M108" i="2" s="1"/>
  <c r="J108" i="2"/>
  <c r="L107" i="2"/>
  <c r="J107" i="2"/>
  <c r="L106" i="2"/>
  <c r="J106" i="2"/>
  <c r="L105" i="2"/>
  <c r="J105" i="2"/>
  <c r="L104" i="2"/>
  <c r="J104" i="2"/>
  <c r="L103" i="2"/>
  <c r="J103" i="2"/>
  <c r="L102" i="2"/>
  <c r="J102" i="2"/>
  <c r="L101" i="2"/>
  <c r="J101" i="2"/>
  <c r="L100" i="2"/>
  <c r="J100" i="2"/>
  <c r="L99" i="2"/>
  <c r="J99" i="2"/>
  <c r="L98" i="2"/>
  <c r="K98" i="2"/>
  <c r="J98" i="2"/>
  <c r="L97" i="2"/>
  <c r="J97" i="2"/>
  <c r="L96" i="2"/>
  <c r="J96" i="2"/>
  <c r="L95" i="2"/>
  <c r="K95" i="2"/>
  <c r="J95" i="2"/>
  <c r="L94" i="2"/>
  <c r="J94" i="2"/>
  <c r="K94" i="2" s="1"/>
  <c r="L93" i="2"/>
  <c r="J93" i="2"/>
  <c r="L92" i="2"/>
  <c r="J92" i="2"/>
  <c r="K92" i="2" s="1"/>
  <c r="M92" i="2" s="1"/>
  <c r="L91" i="2"/>
  <c r="J91" i="2"/>
  <c r="L90" i="2"/>
  <c r="J90" i="2"/>
  <c r="K90" i="2" s="1"/>
  <c r="L89" i="2"/>
  <c r="J89" i="2"/>
  <c r="L88" i="2"/>
  <c r="J88" i="2"/>
  <c r="L87" i="2"/>
  <c r="J87" i="2"/>
  <c r="L86" i="2"/>
  <c r="J86" i="2"/>
  <c r="L85" i="2"/>
  <c r="J85" i="2"/>
  <c r="L84" i="2"/>
  <c r="J84" i="2"/>
  <c r="L83" i="2"/>
  <c r="J83" i="2"/>
  <c r="K83" i="2" s="1"/>
  <c r="L82" i="2"/>
  <c r="J82" i="2"/>
  <c r="L81" i="2"/>
  <c r="J81" i="2"/>
  <c r="K81" i="2" s="1"/>
  <c r="L80" i="2"/>
  <c r="J80" i="2"/>
  <c r="K80" i="2" s="1"/>
  <c r="L79" i="2"/>
  <c r="J79" i="2"/>
  <c r="K79" i="2" s="1"/>
  <c r="M79" i="2" s="1"/>
  <c r="L78" i="2"/>
  <c r="J78" i="2"/>
  <c r="L77" i="2"/>
  <c r="J77" i="2"/>
  <c r="L76" i="2"/>
  <c r="J76" i="2"/>
  <c r="L75" i="2"/>
  <c r="J75" i="2"/>
  <c r="L74" i="2"/>
  <c r="J74" i="2"/>
  <c r="L73" i="2"/>
  <c r="K73" i="2"/>
  <c r="J73" i="2"/>
  <c r="L72" i="2"/>
  <c r="J72" i="2"/>
  <c r="K72" i="2" s="1"/>
  <c r="L71" i="2"/>
  <c r="J71" i="2"/>
  <c r="K71" i="2" s="1"/>
  <c r="L70" i="2"/>
  <c r="J70" i="2"/>
  <c r="L69" i="2"/>
  <c r="J69" i="2"/>
  <c r="L68" i="2"/>
  <c r="J68" i="2"/>
  <c r="L67" i="2"/>
  <c r="K67" i="2"/>
  <c r="J67" i="2"/>
  <c r="L66" i="2"/>
  <c r="J66" i="2"/>
  <c r="L65" i="2"/>
  <c r="J65" i="2"/>
  <c r="L64" i="2"/>
  <c r="K64" i="2"/>
  <c r="J64" i="2"/>
  <c r="L63" i="2"/>
  <c r="J63" i="2"/>
  <c r="L62" i="2"/>
  <c r="J62" i="2"/>
  <c r="L61" i="2"/>
  <c r="J61" i="2"/>
  <c r="L60" i="2"/>
  <c r="J60" i="2"/>
  <c r="L59" i="2"/>
  <c r="J59" i="2"/>
  <c r="K59" i="2" s="1"/>
  <c r="L58" i="2"/>
  <c r="K58" i="2"/>
  <c r="M58" i="2" s="1"/>
  <c r="J58" i="2"/>
  <c r="L57" i="2"/>
  <c r="J57" i="2"/>
  <c r="L56" i="2"/>
  <c r="J56" i="2"/>
  <c r="L55" i="2"/>
  <c r="K55" i="2"/>
  <c r="J55" i="2"/>
  <c r="L54" i="2"/>
  <c r="J54" i="2"/>
  <c r="L53" i="2"/>
  <c r="J53" i="2"/>
  <c r="L52" i="2"/>
  <c r="K52" i="2"/>
  <c r="J52" i="2"/>
  <c r="L51" i="2"/>
  <c r="J51" i="2"/>
  <c r="K51" i="2" s="1"/>
  <c r="M51" i="2" s="1"/>
  <c r="L50" i="2"/>
  <c r="J50" i="2"/>
  <c r="L49" i="2"/>
  <c r="J49" i="2"/>
  <c r="L48" i="2"/>
  <c r="J48" i="2"/>
  <c r="L47" i="2"/>
  <c r="J47" i="2"/>
  <c r="K47" i="2" s="1"/>
  <c r="L46" i="2"/>
  <c r="J46" i="2"/>
  <c r="L45" i="2"/>
  <c r="J45" i="2"/>
  <c r="K45" i="2" s="1"/>
  <c r="M45" i="2" s="1"/>
  <c r="L44" i="2"/>
  <c r="J44" i="2"/>
  <c r="L43" i="2"/>
  <c r="J43" i="2"/>
  <c r="L42" i="2"/>
  <c r="K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4" i="2"/>
  <c r="J34" i="2"/>
  <c r="L33" i="2"/>
  <c r="K33" i="2"/>
  <c r="J33" i="2"/>
  <c r="L32" i="2"/>
  <c r="J32" i="2"/>
  <c r="K32" i="2" s="1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K25" i="2" s="1"/>
  <c r="L24" i="2"/>
  <c r="J24" i="2"/>
  <c r="K24" i="2" s="1"/>
  <c r="L23" i="2"/>
  <c r="J23" i="2"/>
  <c r="K23" i="2" s="1"/>
  <c r="L22" i="2"/>
  <c r="J22" i="2"/>
  <c r="L21" i="2"/>
  <c r="J21" i="2"/>
  <c r="K21" i="2" s="1"/>
  <c r="L20" i="2"/>
  <c r="J20" i="2"/>
  <c r="L19" i="2"/>
  <c r="J19" i="2"/>
  <c r="L18" i="2"/>
  <c r="J18" i="2"/>
  <c r="K18" i="2" s="1"/>
  <c r="L17" i="2"/>
  <c r="J17" i="2"/>
  <c r="K17" i="2" s="1"/>
  <c r="M17" i="2" s="1"/>
  <c r="L16" i="2"/>
  <c r="J16" i="2"/>
  <c r="L15" i="2"/>
  <c r="J15" i="2"/>
  <c r="L14" i="2"/>
  <c r="J14" i="2"/>
  <c r="K14" i="2" s="1"/>
  <c r="L13" i="2"/>
  <c r="J13" i="2"/>
  <c r="K13" i="2" s="1"/>
  <c r="L12" i="2"/>
  <c r="J12" i="2"/>
  <c r="L11" i="2"/>
  <c r="J11" i="2"/>
  <c r="L10" i="2"/>
  <c r="K10" i="2"/>
  <c r="J10" i="2"/>
  <c r="L9" i="2"/>
  <c r="J9" i="2"/>
  <c r="L8" i="2"/>
  <c r="J8" i="2"/>
  <c r="L7" i="2"/>
  <c r="J7" i="2"/>
  <c r="L6" i="2"/>
  <c r="J6" i="2"/>
  <c r="K6" i="2" s="1"/>
  <c r="M6" i="2" s="1"/>
  <c r="L5" i="2"/>
  <c r="K5" i="2"/>
  <c r="J5" i="2"/>
  <c r="L4" i="2"/>
  <c r="J4" i="2"/>
  <c r="K4" i="2" s="1"/>
  <c r="L3" i="2"/>
  <c r="K3" i="2"/>
  <c r="J3" i="2"/>
  <c r="K40" i="2" l="1"/>
  <c r="M40" i="2" s="1"/>
  <c r="K188" i="2"/>
  <c r="K204" i="2"/>
  <c r="K219" i="2"/>
  <c r="K250" i="2"/>
  <c r="K322" i="2"/>
  <c r="K422" i="2"/>
  <c r="K93" i="2"/>
  <c r="M93" i="2" s="1"/>
  <c r="K129" i="2"/>
  <c r="M129" i="2" s="1"/>
  <c r="K247" i="2"/>
  <c r="K331" i="2"/>
  <c r="K518" i="2"/>
  <c r="K69" i="2"/>
  <c r="M69" i="2" s="1"/>
  <c r="K285" i="2"/>
  <c r="K467" i="2"/>
  <c r="K38" i="2"/>
  <c r="M38" i="2" s="1"/>
  <c r="K236" i="2"/>
  <c r="K263" i="2"/>
  <c r="K284" i="2"/>
  <c r="K31" i="2"/>
  <c r="K221" i="2"/>
  <c r="K358" i="2"/>
  <c r="K373" i="2"/>
  <c r="K388" i="2"/>
  <c r="M388" i="2" s="1"/>
  <c r="K496" i="2"/>
  <c r="M496" i="2" s="1"/>
  <c r="K355" i="2"/>
  <c r="K171" i="2"/>
  <c r="M171" i="2" s="1"/>
  <c r="M161" i="2"/>
  <c r="K225" i="2"/>
  <c r="K256" i="2"/>
  <c r="M256" i="2" s="1"/>
  <c r="M323" i="2"/>
  <c r="K414" i="2"/>
  <c r="M414" i="2" s="1"/>
  <c r="K26" i="2"/>
  <c r="K118" i="2"/>
  <c r="M118" i="2" s="1"/>
  <c r="K257" i="2"/>
  <c r="M257" i="2" s="1"/>
  <c r="K147" i="2"/>
  <c r="M147" i="2" s="1"/>
  <c r="K359" i="2"/>
  <c r="K378" i="2"/>
  <c r="M378" i="2" s="1"/>
  <c r="K508" i="2"/>
  <c r="K7" i="2"/>
  <c r="M7" i="2" s="1"/>
  <c r="K326" i="2"/>
  <c r="M326" i="2" s="1"/>
  <c r="K201" i="2"/>
  <c r="M3" i="2"/>
  <c r="M72" i="2"/>
  <c r="M115" i="2"/>
  <c r="M190" i="2"/>
  <c r="K216" i="2"/>
  <c r="M216" i="2" s="1"/>
  <c r="M263" i="2"/>
  <c r="M267" i="2"/>
  <c r="K327" i="2"/>
  <c r="M327" i="2" s="1"/>
  <c r="M331" i="2"/>
  <c r="M367" i="2"/>
  <c r="M400" i="2"/>
  <c r="K453" i="2"/>
  <c r="M467" i="2"/>
  <c r="K471" i="2"/>
  <c r="K475" i="2"/>
  <c r="M475" i="2" s="1"/>
  <c r="M490" i="2"/>
  <c r="M517" i="2"/>
  <c r="K76" i="2"/>
  <c r="M76" i="2" s="1"/>
  <c r="K102" i="2"/>
  <c r="K136" i="2"/>
  <c r="K260" i="2"/>
  <c r="K290" i="2"/>
  <c r="M290" i="2" s="1"/>
  <c r="K425" i="2"/>
  <c r="K457" i="2"/>
  <c r="K483" i="2"/>
  <c r="K375" i="2"/>
  <c r="M375" i="2" s="1"/>
  <c r="K432" i="2"/>
  <c r="M432" i="2" s="1"/>
  <c r="K106" i="2"/>
  <c r="M106" i="2" s="1"/>
  <c r="K468" i="2"/>
  <c r="M468" i="2" s="1"/>
  <c r="K491" i="2"/>
  <c r="K502" i="2"/>
  <c r="M502" i="2" s="1"/>
  <c r="K88" i="2"/>
  <c r="M88" i="2" s="1"/>
  <c r="K187" i="2"/>
  <c r="M187" i="2" s="1"/>
  <c r="K283" i="2"/>
  <c r="M504" i="2"/>
  <c r="M109" i="2"/>
  <c r="M205" i="2"/>
  <c r="K15" i="2"/>
  <c r="M15" i="2" s="1"/>
  <c r="K103" i="2"/>
  <c r="M103" i="2" s="1"/>
  <c r="K180" i="2"/>
  <c r="M180" i="2" s="1"/>
  <c r="K227" i="2"/>
  <c r="M412" i="2"/>
  <c r="K480" i="2"/>
  <c r="M494" i="2"/>
  <c r="K148" i="2"/>
  <c r="M148" i="2" s="1"/>
  <c r="K30" i="2"/>
  <c r="M30" i="2" s="1"/>
  <c r="M80" i="2"/>
  <c r="K368" i="2"/>
  <c r="M368" i="2" s="1"/>
  <c r="M86" i="2"/>
  <c r="K8" i="2"/>
  <c r="M8" i="2" s="1"/>
  <c r="K77" i="2"/>
  <c r="K100" i="2"/>
  <c r="K123" i="2"/>
  <c r="M123" i="2" s="1"/>
  <c r="K172" i="2"/>
  <c r="M172" i="2" s="1"/>
  <c r="K184" i="2"/>
  <c r="M184" i="2" s="1"/>
  <c r="K210" i="2"/>
  <c r="M210" i="2" s="1"/>
  <c r="K234" i="2"/>
  <c r="K302" i="2"/>
  <c r="M302" i="2" s="1"/>
  <c r="K361" i="2"/>
  <c r="M361" i="2" s="1"/>
  <c r="K419" i="2"/>
  <c r="M419" i="2" s="1"/>
  <c r="K433" i="2"/>
  <c r="M433" i="2" s="1"/>
  <c r="M23" i="2"/>
  <c r="K120" i="2"/>
  <c r="M134" i="2"/>
  <c r="K169" i="2"/>
  <c r="M250" i="2"/>
  <c r="M261" i="2"/>
  <c r="M265" i="2"/>
  <c r="M272" i="2"/>
  <c r="K276" i="2"/>
  <c r="M276" i="2" s="1"/>
  <c r="M299" i="2"/>
  <c r="K329" i="2"/>
  <c r="M329" i="2" s="1"/>
  <c r="K369" i="2"/>
  <c r="M394" i="2"/>
  <c r="K473" i="2"/>
  <c r="K503" i="2"/>
  <c r="M503" i="2" s="1"/>
  <c r="K511" i="2"/>
  <c r="K515" i="2"/>
  <c r="M156" i="2"/>
  <c r="M153" i="2"/>
  <c r="M296" i="2"/>
  <c r="K191" i="2"/>
  <c r="M5" i="2"/>
  <c r="K35" i="2"/>
  <c r="M35" i="2" s="1"/>
  <c r="K39" i="2"/>
  <c r="K60" i="2"/>
  <c r="M60" i="2" s="1"/>
  <c r="M90" i="2"/>
  <c r="M94" i="2"/>
  <c r="M127" i="2"/>
  <c r="M146" i="2"/>
  <c r="M157" i="2"/>
  <c r="K160" i="2"/>
  <c r="M160" i="2" s="1"/>
  <c r="K166" i="2"/>
  <c r="K173" i="2"/>
  <c r="M173" i="2" s="1"/>
  <c r="K196" i="2"/>
  <c r="M196" i="2" s="1"/>
  <c r="M221" i="2"/>
  <c r="M228" i="2"/>
  <c r="K235" i="2"/>
  <c r="M235" i="2" s="1"/>
  <c r="K288" i="2"/>
  <c r="K292" i="2"/>
  <c r="M292" i="2" s="1"/>
  <c r="K314" i="2"/>
  <c r="M314" i="2" s="1"/>
  <c r="M362" i="2"/>
  <c r="M402" i="2"/>
  <c r="M420" i="2"/>
  <c r="K485" i="2"/>
  <c r="M523" i="2"/>
  <c r="K527" i="2"/>
  <c r="M527" i="2" s="1"/>
  <c r="K530" i="2"/>
  <c r="M132" i="2"/>
  <c r="K28" i="2"/>
  <c r="M28" i="2" s="1"/>
  <c r="M47" i="2"/>
  <c r="K57" i="2"/>
  <c r="M114" i="2"/>
  <c r="M154" i="2"/>
  <c r="M225" i="2"/>
  <c r="M243" i="2"/>
  <c r="M247" i="2"/>
  <c r="M355" i="2"/>
  <c r="M366" i="2"/>
  <c r="M381" i="2"/>
  <c r="M417" i="2"/>
  <c r="M434" i="2"/>
  <c r="M459" i="2"/>
  <c r="M466" i="2"/>
  <c r="M470" i="2"/>
  <c r="M508" i="2"/>
  <c r="M31" i="2"/>
  <c r="M192" i="2"/>
  <c r="M288" i="2"/>
  <c r="M445" i="2"/>
  <c r="M212" i="2"/>
  <c r="M478" i="2"/>
  <c r="M25" i="2"/>
  <c r="M282" i="2"/>
  <c r="M294" i="2"/>
  <c r="M102" i="2"/>
  <c r="K446" i="2"/>
  <c r="M446" i="2" s="1"/>
  <c r="K354" i="2"/>
  <c r="K346" i="2"/>
  <c r="M346" i="2" s="1"/>
  <c r="K96" i="2"/>
  <c r="K456" i="2"/>
  <c r="K209" i="2"/>
  <c r="K29" i="2"/>
  <c r="K185" i="2"/>
  <c r="K78" i="2"/>
  <c r="K325" i="2"/>
  <c r="K183" i="2"/>
  <c r="M183" i="2" s="1"/>
  <c r="K309" i="2"/>
  <c r="K46" i="2"/>
  <c r="K44" i="2"/>
  <c r="M44" i="2" s="1"/>
  <c r="K177" i="2"/>
  <c r="K324" i="2"/>
  <c r="M56" i="2"/>
  <c r="K492" i="2"/>
  <c r="K63" i="2"/>
  <c r="M63" i="2" s="1"/>
  <c r="K501" i="2"/>
  <c r="K62" i="2"/>
  <c r="K439" i="2"/>
  <c r="K281" i="2"/>
  <c r="M281" i="2" s="1"/>
  <c r="M343" i="2"/>
  <c r="M359" i="2"/>
  <c r="K68" i="2"/>
  <c r="M68" i="2" s="1"/>
  <c r="K266" i="2"/>
  <c r="M266" i="2" s="1"/>
  <c r="K231" i="2"/>
  <c r="M231" i="2" s="1"/>
  <c r="K289" i="2"/>
  <c r="M289" i="2" s="1"/>
  <c r="K337" i="2"/>
  <c r="M337" i="2" s="1"/>
  <c r="K150" i="2"/>
  <c r="M150" i="2" s="1"/>
  <c r="K271" i="2"/>
  <c r="M271" i="2" s="1"/>
  <c r="K12" i="2"/>
  <c r="M12" i="2" s="1"/>
  <c r="K34" i="2"/>
  <c r="M34" i="2" s="1"/>
  <c r="K194" i="2"/>
  <c r="M194" i="2" s="1"/>
  <c r="K278" i="2"/>
  <c r="K85" i="2"/>
  <c r="K48" i="2"/>
  <c r="K189" i="2"/>
  <c r="K142" i="2"/>
  <c r="K74" i="2"/>
  <c r="K357" i="2"/>
  <c r="M357" i="2" s="1"/>
  <c r="K274" i="2"/>
  <c r="M274" i="2" s="1"/>
  <c r="K244" i="2"/>
  <c r="M244" i="2" s="1"/>
  <c r="K316" i="2"/>
  <c r="K206" i="2"/>
  <c r="M206" i="2" s="1"/>
  <c r="K305" i="2"/>
  <c r="K460" i="2"/>
  <c r="M460" i="2" s="1"/>
  <c r="K20" i="2"/>
  <c r="M20" i="2" s="1"/>
  <c r="K386" i="2"/>
  <c r="M386" i="2" s="1"/>
  <c r="K240" i="2"/>
  <c r="M240" i="2" s="1"/>
  <c r="K200" i="2"/>
  <c r="M200" i="2" s="1"/>
  <c r="K484" i="2"/>
  <c r="M484" i="2" s="1"/>
  <c r="K321" i="2"/>
  <c r="M321" i="2" s="1"/>
  <c r="K70" i="2"/>
  <c r="M70" i="2" s="1"/>
  <c r="K152" i="2"/>
  <c r="M202" i="2"/>
  <c r="K320" i="2"/>
  <c r="M320" i="2" s="1"/>
  <c r="M18" i="2"/>
  <c r="M10" i="2"/>
  <c r="M55" i="2"/>
  <c r="M98" i="2"/>
  <c r="M101" i="2"/>
  <c r="M164" i="2"/>
  <c r="M201" i="2"/>
  <c r="M214" i="2"/>
  <c r="M217" i="2"/>
  <c r="M322" i="2"/>
  <c r="M333" i="2"/>
  <c r="M340" i="2"/>
  <c r="M389" i="2"/>
  <c r="M392" i="2"/>
  <c r="M424" i="2"/>
  <c r="M427" i="2"/>
  <c r="M437" i="2"/>
  <c r="M451" i="2"/>
  <c r="M454" i="2"/>
  <c r="K513" i="2"/>
  <c r="K181" i="2"/>
  <c r="M181" i="2" s="1"/>
  <c r="M215" i="2"/>
  <c r="K75" i="2"/>
  <c r="M75" i="2" s="1"/>
  <c r="K280" i="2"/>
  <c r="M280" i="2" s="1"/>
  <c r="K472" i="2"/>
  <c r="K178" i="2"/>
  <c r="M178" i="2" s="1"/>
  <c r="K9" i="2"/>
  <c r="K397" i="2"/>
  <c r="K512" i="2"/>
  <c r="K423" i="2"/>
  <c r="M423" i="2" s="1"/>
  <c r="K203" i="2"/>
  <c r="M203" i="2" s="1"/>
  <c r="M241" i="2"/>
  <c r="M255" i="2"/>
  <c r="M285" i="2"/>
  <c r="M307" i="2"/>
  <c r="K393" i="2"/>
  <c r="M425" i="2"/>
  <c r="K442" i="2"/>
  <c r="K163" i="2"/>
  <c r="K97" i="2"/>
  <c r="M97" i="2" s="1"/>
  <c r="K82" i="2"/>
  <c r="M82" i="2" s="1"/>
  <c r="K27" i="2"/>
  <c r="K352" i="2"/>
  <c r="K277" i="2"/>
  <c r="M277" i="2" s="1"/>
  <c r="K384" i="2"/>
  <c r="M384" i="2" s="1"/>
  <c r="K84" i="2"/>
  <c r="K105" i="2"/>
  <c r="K54" i="2"/>
  <c r="M54" i="2" s="1"/>
  <c r="K516" i="2"/>
  <c r="M516" i="2" s="1"/>
  <c r="K525" i="2"/>
  <c r="K222" i="2"/>
  <c r="K436" i="2"/>
  <c r="K286" i="2"/>
  <c r="K406" i="2"/>
  <c r="K262" i="2"/>
  <c r="K444" i="2"/>
  <c r="M444" i="2" s="1"/>
  <c r="K486" i="2"/>
  <c r="K111" i="2"/>
  <c r="K16" i="2"/>
  <c r="K37" i="2"/>
  <c r="K374" i="2"/>
  <c r="K300" i="2"/>
  <c r="K258" i="2"/>
  <c r="K87" i="2"/>
  <c r="M87" i="2" s="1"/>
  <c r="K193" i="2"/>
  <c r="K429" i="2"/>
  <c r="K167" i="2"/>
  <c r="K246" i="2"/>
  <c r="K524" i="2"/>
  <c r="M524" i="2" s="1"/>
  <c r="K273" i="2"/>
  <c r="K364" i="2"/>
  <c r="M364" i="2" s="1"/>
  <c r="K428" i="2"/>
  <c r="M428" i="2" s="1"/>
  <c r="K179" i="2"/>
  <c r="M179" i="2" s="1"/>
  <c r="K330" i="2"/>
  <c r="K226" i="2"/>
  <c r="K254" i="2"/>
  <c r="K338" i="2"/>
  <c r="K66" i="2"/>
  <c r="K438" i="2"/>
  <c r="M462" i="2"/>
  <c r="M472" i="2"/>
  <c r="K335" i="2"/>
  <c r="K41" i="2"/>
  <c r="K328" i="2"/>
  <c r="K91" i="2"/>
  <c r="M91" i="2" s="1"/>
  <c r="K239" i="2"/>
  <c r="M239" i="2" s="1"/>
  <c r="K140" i="2"/>
  <c r="K149" i="2"/>
  <c r="M149" i="2" s="1"/>
  <c r="K174" i="2"/>
  <c r="M174" i="2" s="1"/>
  <c r="K376" i="2"/>
  <c r="K124" i="2"/>
  <c r="M207" i="2"/>
  <c r="M42" i="2"/>
  <c r="K304" i="2"/>
  <c r="M304" i="2" s="1"/>
  <c r="M480" i="2"/>
  <c r="M492" i="2"/>
  <c r="M9" i="2"/>
  <c r="M336" i="2"/>
  <c r="M62" i="2"/>
  <c r="M510" i="2"/>
  <c r="M324" i="2"/>
  <c r="M99" i="2"/>
  <c r="M248" i="2"/>
  <c r="M354" i="2"/>
  <c r="M96" i="2"/>
  <c r="M245" i="2"/>
  <c r="M456" i="2"/>
  <c r="M209" i="2"/>
  <c r="M29" i="2"/>
  <c r="M185" i="2"/>
  <c r="M78" i="2"/>
  <c r="M325" i="2"/>
  <c r="M309" i="2"/>
  <c r="M46" i="2"/>
  <c r="M233" i="2"/>
  <c r="M120" i="2"/>
  <c r="M177" i="2"/>
  <c r="M197" i="2"/>
  <c r="M501" i="2"/>
  <c r="M14" i="2"/>
  <c r="M49" i="2"/>
  <c r="M52" i="2"/>
  <c r="M64" i="2"/>
  <c r="M155" i="2"/>
  <c r="M158" i="2"/>
  <c r="M220" i="2"/>
  <c r="M234" i="2"/>
  <c r="M260" i="2"/>
  <c r="M311" i="2"/>
  <c r="M344" i="2"/>
  <c r="M369" i="2"/>
  <c r="M398" i="2"/>
  <c r="M452" i="2"/>
  <c r="M481" i="2"/>
  <c r="K509" i="2"/>
  <c r="M509" i="2" s="1"/>
  <c r="M43" i="2"/>
  <c r="M514" i="2"/>
  <c r="M397" i="2"/>
  <c r="M439" i="2"/>
  <c r="M278" i="2"/>
  <c r="M189" i="2"/>
  <c r="M4" i="2"/>
  <c r="M26" i="2"/>
  <c r="M130" i="2"/>
  <c r="M144" i="2"/>
  <c r="M175" i="2"/>
  <c r="M182" i="2"/>
  <c r="M191" i="2"/>
  <c r="M232" i="2"/>
  <c r="M268" i="2"/>
  <c r="M287" i="2"/>
  <c r="M293" i="2"/>
  <c r="M305" i="2"/>
  <c r="M318" i="2"/>
  <c r="M399" i="2"/>
  <c r="K405" i="2"/>
  <c r="M405" i="2" s="1"/>
  <c r="M426" i="2"/>
  <c r="M443" i="2"/>
  <c r="M450" i="2"/>
  <c r="M453" i="2"/>
  <c r="M485" i="2"/>
  <c r="M491" i="2"/>
  <c r="M500" i="2"/>
  <c r="M521" i="2"/>
  <c r="M528" i="2"/>
  <c r="M531" i="2"/>
  <c r="K469" i="2"/>
  <c r="M469" i="2" s="1"/>
  <c r="M48" i="2"/>
  <c r="K339" i="2"/>
  <c r="M339" i="2" s="1"/>
  <c r="M13" i="2"/>
  <c r="M24" i="2"/>
  <c r="M39" i="2"/>
  <c r="M59" i="2"/>
  <c r="M74" i="2"/>
  <c r="M77" i="2"/>
  <c r="M100" i="2"/>
  <c r="M117" i="2"/>
  <c r="M128" i="2"/>
  <c r="M186" i="2"/>
  <c r="M213" i="2"/>
  <c r="M227" i="2"/>
  <c r="M275" i="2"/>
  <c r="M303" i="2"/>
  <c r="M306" i="2"/>
  <c r="M358" i="2"/>
  <c r="M396" i="2"/>
  <c r="M418" i="2"/>
  <c r="M430" i="2"/>
  <c r="M440" i="2"/>
  <c r="M457" i="2"/>
  <c r="M473" i="2"/>
  <c r="M476" i="2"/>
  <c r="M498" i="2"/>
  <c r="M515" i="2"/>
  <c r="M518" i="2"/>
  <c r="M163" i="2"/>
  <c r="M316" i="2"/>
  <c r="M142" i="2"/>
  <c r="K11" i="2"/>
  <c r="M11" i="2" s="1"/>
  <c r="K455" i="2"/>
  <c r="M455" i="2" s="1"/>
  <c r="K507" i="2"/>
  <c r="M507" i="2" s="1"/>
  <c r="M513" i="2"/>
  <c r="M19" i="2"/>
  <c r="M32" i="2"/>
  <c r="M110" i="2"/>
  <c r="M136" i="2"/>
  <c r="M218" i="2"/>
  <c r="M279" i="2"/>
  <c r="M360" i="2"/>
  <c r="K372" i="2"/>
  <c r="M372" i="2" s="1"/>
  <c r="M403" i="2"/>
  <c r="K495" i="2"/>
  <c r="M495" i="2" s="1"/>
  <c r="K532" i="2"/>
  <c r="M532" i="2" s="1"/>
  <c r="K121" i="2"/>
  <c r="M121" i="2" s="1"/>
  <c r="K36" i="2"/>
  <c r="M36" i="2" s="1"/>
  <c r="K349" i="2"/>
  <c r="M349" i="2" s="1"/>
  <c r="K410" i="2"/>
  <c r="M410" i="2" s="1"/>
  <c r="K464" i="2"/>
  <c r="M464" i="2" s="1"/>
  <c r="M352" i="2"/>
  <c r="K342" i="2"/>
  <c r="M342" i="2" s="1"/>
  <c r="K242" i="2"/>
  <c r="M242" i="2" s="1"/>
  <c r="K435" i="2"/>
  <c r="M435" i="2" s="1"/>
  <c r="K449" i="2"/>
  <c r="M449" i="2" s="1"/>
  <c r="K238" i="2"/>
  <c r="M238" i="2" s="1"/>
  <c r="K145" i="2"/>
  <c r="M145" i="2" s="1"/>
  <c r="M442" i="2"/>
  <c r="M27" i="2"/>
  <c r="K487" i="2"/>
  <c r="M487" i="2" s="1"/>
  <c r="K385" i="2"/>
  <c r="M385" i="2" s="1"/>
  <c r="M85" i="2"/>
  <c r="K407" i="2"/>
  <c r="M407" i="2" s="1"/>
  <c r="K505" i="2"/>
  <c r="M505" i="2" s="1"/>
  <c r="K493" i="2"/>
  <c r="M493" i="2" s="1"/>
  <c r="M33" i="2"/>
  <c r="M71" i="2"/>
  <c r="M81" i="2"/>
  <c r="M137" i="2"/>
  <c r="M219" i="2"/>
  <c r="K237" i="2"/>
  <c r="M237" i="2" s="1"/>
  <c r="M312" i="2"/>
  <c r="M315" i="2"/>
  <c r="K377" i="2"/>
  <c r="M377" i="2" s="1"/>
  <c r="M380" i="2"/>
  <c r="K404" i="2"/>
  <c r="M404" i="2" s="1"/>
  <c r="M411" i="2"/>
  <c r="M422" i="2"/>
  <c r="M471" i="2"/>
  <c r="K112" i="2"/>
  <c r="M112" i="2" s="1"/>
  <c r="K313" i="2"/>
  <c r="M313" i="2" s="1"/>
  <c r="K522" i="2"/>
  <c r="M522" i="2" s="1"/>
  <c r="M41" i="2"/>
  <c r="M73" i="2"/>
  <c r="M95" i="2"/>
  <c r="M119" i="2"/>
  <c r="M131" i="2"/>
  <c r="M138" i="2"/>
  <c r="M141" i="2"/>
  <c r="M151" i="2"/>
  <c r="M166" i="2"/>
  <c r="M169" i="2"/>
  <c r="M188" i="2"/>
  <c r="M204" i="2"/>
  <c r="M269" i="2"/>
  <c r="M283" i="2"/>
  <c r="M297" i="2"/>
  <c r="M310" i="2"/>
  <c r="M319" i="2"/>
  <c r="M334" i="2"/>
  <c r="M348" i="2"/>
  <c r="M351" i="2"/>
  <c r="M356" i="2"/>
  <c r="M373" i="2"/>
  <c r="K383" i="2"/>
  <c r="M383" i="2" s="1"/>
  <c r="K395" i="2"/>
  <c r="M395" i="2" s="1"/>
  <c r="M415" i="2"/>
  <c r="K441" i="2"/>
  <c r="M441" i="2" s="1"/>
  <c r="K447" i="2"/>
  <c r="M447" i="2" s="1"/>
  <c r="M461" i="2"/>
  <c r="K479" i="2"/>
  <c r="M479" i="2" s="1"/>
  <c r="M488" i="2"/>
  <c r="K519" i="2"/>
  <c r="M519" i="2" s="1"/>
  <c r="M529" i="2"/>
  <c r="M512" i="2"/>
  <c r="K497" i="2"/>
  <c r="M497" i="2" s="1"/>
  <c r="M506" i="2"/>
  <c r="M526" i="2"/>
  <c r="M332" i="2"/>
  <c r="M477" i="2"/>
  <c r="M84" i="2"/>
  <c r="M105" i="2"/>
  <c r="M198" i="2"/>
  <c r="M525" i="2"/>
  <c r="M222" i="2"/>
  <c r="M436" i="2"/>
  <c r="M286" i="2"/>
  <c r="M406" i="2"/>
  <c r="M262" i="2"/>
  <c r="M486" i="2"/>
  <c r="M111" i="2"/>
  <c r="M16" i="2"/>
  <c r="M37" i="2"/>
  <c r="M374" i="2"/>
  <c r="M300" i="2"/>
  <c r="M258" i="2"/>
  <c r="M193" i="2"/>
  <c r="M429" i="2"/>
  <c r="M167" i="2"/>
  <c r="M246" i="2"/>
  <c r="M273" i="2"/>
  <c r="M330" i="2"/>
  <c r="M226" i="2"/>
  <c r="M254" i="2"/>
  <c r="M338" i="2"/>
  <c r="M66" i="2"/>
  <c r="M438" i="2"/>
  <c r="K421" i="2"/>
  <c r="M421" i="2" s="1"/>
  <c r="M107" i="2"/>
  <c r="M21" i="2"/>
  <c r="M57" i="2"/>
  <c r="M67" i="2"/>
  <c r="M83" i="2"/>
  <c r="M89" i="2"/>
  <c r="M113" i="2"/>
  <c r="M125" i="2"/>
  <c r="M139" i="2"/>
  <c r="M152" i="2"/>
  <c r="M162" i="2"/>
  <c r="M170" i="2"/>
  <c r="M236" i="2"/>
  <c r="K249" i="2"/>
  <c r="M249" i="2" s="1"/>
  <c r="M252" i="2"/>
  <c r="M270" i="2"/>
  <c r="M284" i="2"/>
  <c r="K295" i="2"/>
  <c r="M295" i="2" s="1"/>
  <c r="M298" i="2"/>
  <c r="M301" i="2"/>
  <c r="M335" i="2"/>
  <c r="K363" i="2"/>
  <c r="M363" i="2" s="1"/>
  <c r="M387" i="2"/>
  <c r="M393" i="2"/>
  <c r="M401" i="2"/>
  <c r="M413" i="2"/>
  <c r="M416" i="2"/>
  <c r="M483" i="2"/>
  <c r="M489" i="2"/>
  <c r="M511" i="2"/>
  <c r="M530" i="2"/>
  <c r="M211" i="2"/>
  <c r="M176" i="2"/>
  <c r="M390" i="2"/>
  <c r="M379" i="2"/>
  <c r="M264" i="2"/>
  <c r="M328" i="2"/>
  <c r="M474" i="2"/>
  <c r="M140" i="2"/>
  <c r="M376" i="2"/>
  <c r="M124" i="2"/>
  <c r="K61" i="2"/>
  <c r="M61" i="2" s="1"/>
  <c r="K208" i="2"/>
  <c r="M208" i="2" s="1"/>
  <c r="K224" i="2"/>
  <c r="M224" i="2" s="1"/>
  <c r="K259" i="2"/>
  <c r="M259" i="2" s="1"/>
  <c r="K251" i="2"/>
  <c r="M251" i="2" s="1"/>
  <c r="K291" i="2"/>
  <c r="M291" i="2" s="1"/>
  <c r="K409" i="2"/>
  <c r="M409" i="2" s="1"/>
  <c r="K382" i="2"/>
  <c r="M382" i="2" s="1"/>
  <c r="K458" i="2"/>
  <c r="M458" i="2" s="1"/>
  <c r="K463" i="2"/>
  <c r="M463" i="2" s="1"/>
  <c r="K50" i="2"/>
  <c r="M50" i="2" s="1"/>
  <c r="K345" i="2"/>
  <c r="M345" i="2" s="1"/>
  <c r="K520" i="2"/>
  <c r="M520" i="2" s="1"/>
  <c r="K465" i="2"/>
  <c r="M465" i="2" s="1"/>
  <c r="K431" i="2"/>
  <c r="M431" i="2" s="1"/>
</calcChain>
</file>

<file path=xl/sharedStrings.xml><?xml version="1.0" encoding="utf-8"?>
<sst xmlns="http://schemas.openxmlformats.org/spreadsheetml/2006/main" count="1774" uniqueCount="640">
  <si>
    <t>High-Value Merchant Day — exact classification rule</t>
  </si>
  <si>
    <t>A transaction on Sheet1 is labeled "High-Value Merchant Day" (column L) when BOTH:</t>
  </si>
  <si>
    <t xml:space="preserve">  1. That merchant's total CAPTURED amount_inr on that calendar date exceeds INR 5,000 (strictly greater than — 5,000 itself does not qualify).</t>
  </si>
  <si>
    <t xml:space="preserve">  2. That merchant's region (from Merchant_Region_Map) is NOT "East".</t>
  </si>
  <si>
    <t>Formula (Sheet1!L2): =IF(AND(J2&gt;5000,K2&lt;&gt;"East"),"High-Value Merchant Day","")</t>
  </si>
  <si>
    <t>How each input is computed:</t>
  </si>
  <si>
    <t xml:space="preserve">  • Column I (txn_date) = INT(transaction_time) — strips the time-of-day so transactions are grouped by calendar date.</t>
  </si>
  <si>
    <t xml:space="preserve">  • Column J (merchant_daily_total_captured_inr) is looked up via INDEX/MATCH from the Daily_Merchant_Pivot sheet, a pivot-style</t>
  </si>
  <si>
    <t xml:space="preserve">    summary (Sum of amount_inr, rows = date, columns = merchant_id) built with SUMIFS, restricted to status = "captured".</t>
  </si>
  <si>
    <t xml:space="preserve">  • Column K (merchant_region) is looked up via INDEX/MATCH from Merchant_Region_Map (merchant_id → region).</t>
  </si>
  <si>
    <t>Judgment calls made (documented per the workbook's requirement to state any distinct rule explicitly):</t>
  </si>
  <si>
    <t xml:space="preserve">  1. STATUS FILTER — the daily total includes only status = "captured" transactions, not "failed" or "chargeback", on the</t>
  </si>
  <si>
    <t xml:space="preserve">     reasoning that only captured transactions represent money actually settled to the merchant. This is a judgment call:</t>
  </si>
  <si>
    <t xml:space="preserve">     including ALL statuses instead would add 3 more flagged merchant-days (merchant 22 on 2026-01-13, merchant 27 on</t>
  </si>
  <si>
    <t xml:space="preserve">     2026-01-23, merchant 39 on 2026-01-22). Change the status criterion in the Daily_Merchant_Pivot SUMIFS formulas if</t>
  </si>
  <si>
    <t xml:space="preserve">     you want the all-status definition instead.</t>
  </si>
  <si>
    <t xml:space="preserve">  2. NEGATIVE AMOUNTS — the source data (Sheet1) contains 2 captured transactions with negative amount_inr</t>
  </si>
  <si>
    <t xml:space="preserve">     (TXN100204: -51, TXN100218: -1), left in as-is and netted into the daily totals since no cleansing instruction was given.</t>
  </si>
  <si>
    <t xml:space="preserve">  3. CUTOFF — INR 5,000 is used exactly as specified in the request (a strict "&gt;" comparison, not "≥").</t>
  </si>
  <si>
    <t xml:space="preserve">  4. REGION SOURCE — gateway_export.xlsx (the file to classify) has no region column. Region is sourced from the separately</t>
  </si>
  <si>
    <t xml:space="preserve">     uploaded merchant_workbook.ods (Sheet1), deduplicated to one merchant_id → region row each, in Merchant_Region_Map.</t>
  </si>
  <si>
    <t xml:space="preserve">     All 40 merchant_ids present in gateway_export.xlsx were found in that mapping — none required a fallback value.</t>
  </si>
  <si>
    <t>Sheets in this workbook:</t>
  </si>
  <si>
    <t xml:space="preserve">  • Sheet1 — original transaction data (A–H) + helper/output columns I–L.</t>
  </si>
  <si>
    <t xml:space="preserve">  • Daily_Merchant_Pivot — the pivot-style merchant×date captured-amount summary that column J looks up.</t>
  </si>
  <si>
    <t xml:space="preserve">  • Merchant_Region_Map — merchant_id → merchant_name / category / region reference, sourced from merchant_workbook.ods.</t>
  </si>
  <si>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</si>
  <si>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</si>
  <si>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</si>
  <si>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</si>
  <si>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</si>
  <si>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</si>
  <si>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</si>
  <si>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</si>
  <si>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txn_date</t>
  </si>
  <si>
    <t>merchant_daily_total_captured_inr</t>
  </si>
  <si>
    <t>merchant_region</t>
  </si>
  <si>
    <t>classification</t>
  </si>
  <si>
    <t>TXN100001</t>
  </si>
  <si>
    <t>UPI</t>
  </si>
  <si>
    <t>captured</t>
  </si>
  <si>
    <t>TXN100002</t>
  </si>
  <si>
    <t>Wallet</t>
  </si>
  <si>
    <t>TXN100003</t>
  </si>
  <si>
    <t>Netbanking</t>
  </si>
  <si>
    <t>TXN100004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</si>
  <si>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</si>
  <si>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</si>
  <si>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</si>
  <si>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</si>
  <si>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</si>
  <si>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</si>
  <si>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</si>
  <si>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</si>
  <si>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</si>
  <si>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</si>
  <si>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</si>
  <si>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</si>
  <si>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</si>
  <si>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</si>
  <si>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</si>
  <si>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</si>
  <si>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</si>
  <si>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</si>
  <si>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</si>
  <si>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</si>
  <si>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</si>
  <si>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</si>
  <si>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</si>
  <si>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</si>
  <si>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</si>
  <si>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</si>
  <si>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</si>
  <si>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</si>
  <si>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</si>
  <si>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</si>
  <si>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</si>
  <si>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</si>
  <si>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</si>
  <si>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</si>
  <si>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</si>
  <si>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</si>
  <si>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</si>
  <si>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</si>
  <si>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</si>
  <si>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</si>
  <si>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</si>
  <si>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</si>
  <si>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</si>
  <si>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</si>
  <si>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</si>
  <si>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</si>
  <si>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</si>
  <si>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</si>
  <si>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</si>
  <si>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</si>
  <si>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</si>
  <si>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</si>
  <si>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</si>
  <si>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</si>
  <si>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</si>
  <si>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</si>
  <si>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</si>
  <si>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</si>
  <si>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</si>
  <si>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</si>
  <si>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</si>
  <si>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</si>
  <si>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</si>
  <si>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</si>
  <si>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</si>
  <si>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</si>
  <si>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</si>
  <si>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</si>
  <si>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</si>
  <si>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</si>
  <si>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</si>
  <si>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</si>
  <si>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</si>
  <si>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</si>
  <si>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</si>
  <si>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</si>
  <si>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</si>
  <si>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</si>
  <si>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</si>
  <si>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</si>
  <si>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</si>
  <si>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</si>
  <si>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</si>
  <si>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</si>
  <si>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</si>
  <si>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</si>
  <si>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</si>
  <si>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</si>
  <si>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</si>
  <si>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</si>
  <si>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</si>
  <si>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</si>
  <si>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</si>
  <si>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</si>
  <si>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</si>
  <si>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</si>
  <si>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</si>
  <si>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</si>
  <si>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</si>
  <si>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</si>
  <si>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</si>
  <si>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</si>
  <si>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</si>
  <si>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</si>
  <si>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</si>
  <si>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</si>
  <si>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</si>
  <si>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</si>
  <si>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</si>
  <si>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</si>
  <si>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</si>
  <si>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</si>
  <si>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</si>
  <si>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</si>
  <si>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</si>
  <si>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</si>
  <si>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</si>
  <si>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</si>
  <si>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</si>
  <si>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</si>
  <si>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</si>
  <si>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</si>
  <si>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TXN100131</t>
  </si>
  <si>
    <t>TXN100132</t>
  </si>
  <si>
    <t>TXN100133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</si>
  <si>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</si>
  <si>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</si>
  <si>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</si>
  <si>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</si>
  <si>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</si>
  <si>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</si>
  <si>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</si>
  <si>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</si>
  <si>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</si>
  <si>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</si>
  <si>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</si>
  <si>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</si>
  <si>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</si>
  <si>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</si>
  <si>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</si>
  <si>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</si>
  <si>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</si>
  <si>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</si>
  <si>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</si>
  <si>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</si>
  <si>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</si>
  <si>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</si>
  <si>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</si>
  <si>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</si>
  <si>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</si>
  <si>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</si>
  <si>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</si>
  <si>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</si>
  <si>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</si>
  <si>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</si>
  <si>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</si>
  <si>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</si>
  <si>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</si>
  <si>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</si>
  <si>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</si>
  <si>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</si>
  <si>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</si>
  <si>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</si>
  <si>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</si>
  <si>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</si>
  <si>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</si>
  <si>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</si>
  <si>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</si>
  <si>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</si>
  <si>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</si>
  <si>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</si>
  <si>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</si>
  <si>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</si>
  <si>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</si>
  <si>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</si>
  <si>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</si>
  <si>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</si>
  <si>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</si>
  <si>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</si>
  <si>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</si>
  <si>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</si>
  <si>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</si>
  <si>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</si>
  <si>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</si>
  <si>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</si>
  <si>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</si>
  <si>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</si>
  <si>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</si>
  <si>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</si>
  <si>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</si>
  <si>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</si>
  <si>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</si>
  <si>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</si>
  <si>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</si>
  <si>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</si>
  <si>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</si>
  <si>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</si>
  <si>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</si>
  <si>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</si>
  <si>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</si>
  <si>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</si>
  <si>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</si>
  <si>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</si>
  <si>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</si>
  <si>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</si>
  <si>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</si>
  <si>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</si>
  <si>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</si>
  <si>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</si>
  <si>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</si>
  <si>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</si>
  <si>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</si>
  <si>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</si>
  <si>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</si>
  <si>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</si>
  <si>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</si>
  <si>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</si>
  <si>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</si>
  <si>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</si>
  <si>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</si>
  <si>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</si>
  <si>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</si>
  <si>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</si>
  <si>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</si>
  <si>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</si>
  <si>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</si>
  <si>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</si>
  <si>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</si>
  <si>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</si>
  <si>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</si>
  <si>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</si>
  <si>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</si>
  <si>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</si>
  <si>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</si>
  <si>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</si>
  <si>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</si>
  <si>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</si>
  <si>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</si>
  <si>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</si>
  <si>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</si>
  <si>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</si>
  <si>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</si>
  <si>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</si>
  <si>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</si>
  <si>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</si>
  <si>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</si>
  <si>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</si>
  <si>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</si>
  <si>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</si>
  <si>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</si>
  <si>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</si>
  <si>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</si>
  <si>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</si>
  <si>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</si>
  <si>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</si>
  <si>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</si>
  <si>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</si>
  <si>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</si>
  <si>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</si>
  <si>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</si>
  <si>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</si>
  <si>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</si>
  <si>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</si>
  <si>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</si>
  <si>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</si>
  <si>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</si>
  <si>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</si>
  <si>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</si>
  <si>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</si>
  <si>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</si>
  <si>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</si>
  <si>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</si>
  <si>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</si>
  <si>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</si>
  <si>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</si>
  <si>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</si>
  <si>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</si>
  <si>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</si>
  <si>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</si>
  <si>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</si>
  <si>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</si>
  <si>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</si>
  <si>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</si>
  <si>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</si>
  <si>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</si>
  <si>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</si>
  <si>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</si>
  <si>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</si>
  <si>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</si>
  <si>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</si>
  <si>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</si>
  <si>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</si>
  <si>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</si>
  <si>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</si>
  <si>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</si>
  <si>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</si>
  <si>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</si>
  <si>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</si>
  <si>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</si>
  <si>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</si>
  <si>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</si>
  <si>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</si>
  <si>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</si>
  <si>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</si>
  <si>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</si>
  <si>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</si>
  <si>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</si>
  <si>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</si>
  <si>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TXN100325</t>
  </si>
  <si>
    <t>TXN100326</t>
  </si>
  <si>
    <t>TXN100327</t>
  </si>
  <si>
    <t>TXN100328</t>
  </si>
  <si>
    <t>TXN100329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</si>
  <si>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</si>
  <si>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</si>
  <si>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</si>
  <si>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</si>
  <si>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</si>
  <si>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</si>
  <si>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</si>
  <si>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</si>
  <si>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</si>
  <si>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</si>
  <si>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</si>
  <si>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</si>
  <si>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</si>
  <si>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</si>
  <si>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</si>
  <si>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</si>
  <si>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</si>
  <si>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</si>
  <si>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</si>
  <si>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</si>
  <si>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</si>
  <si>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</si>
  <si>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</si>
  <si>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</si>
  <si>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</si>
  <si>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</si>
  <si>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</si>
  <si>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</si>
  <si>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</si>
  <si>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</si>
  <si>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</si>
  <si>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</si>
  <si>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</si>
  <si>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</si>
  <si>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</si>
  <si>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</si>
  <si>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</si>
  <si>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</si>
  <si>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</si>
  <si>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</si>
  <si>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</si>
  <si>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</si>
  <si>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</si>
  <si>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</si>
  <si>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</si>
  <si>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</si>
  <si>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</si>
  <si>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</si>
  <si>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</si>
  <si>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</si>
  <si>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</si>
  <si>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</si>
  <si>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</si>
  <si>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</si>
  <si>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</si>
  <si>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</si>
  <si>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TXN100391</t>
  </si>
  <si>
    <t>TXN100392</t>
  </si>
  <si>
    <t>TXN100393</t>
  </si>
  <si>
    <t>TXN100394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</si>
  <si>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</si>
  <si>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</si>
  <si>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</si>
  <si>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</si>
  <si>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</si>
  <si>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</si>
  <si>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</si>
  <si>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</si>
  <si>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</si>
  <si>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</si>
  <si>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</si>
  <si>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</si>
  <si>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</si>
  <si>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</si>
  <si>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</si>
  <si>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</si>
  <si>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</si>
  <si>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</si>
  <si>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</si>
  <si>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</si>
  <si>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</si>
  <si>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</si>
  <si>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</si>
  <si>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</si>
  <si>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</si>
  <si>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</si>
  <si>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</si>
  <si>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</si>
  <si>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</si>
  <si>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</si>
  <si>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</si>
  <si>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</si>
  <si>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</si>
  <si>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</si>
  <si>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</si>
  <si>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</si>
  <si>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</si>
  <si>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</si>
  <si>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</si>
  <si>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</si>
  <si>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</si>
  <si>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</si>
  <si>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</si>
  <si>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</si>
  <si>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</si>
  <si>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</si>
  <si>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</si>
  <si>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</si>
  <si>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</si>
  <si>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</si>
  <si>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</si>
  <si>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</si>
  <si>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</si>
  <si>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</si>
  <si>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</si>
  <si>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</si>
  <si>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</si>
  <si>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</si>
  <si>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</si>
  <si>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</si>
  <si>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</si>
  <si>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</si>
  <si>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</si>
  <si>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</si>
  <si>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</si>
  <si>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</si>
  <si>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</si>
  <si>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</si>
  <si>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</si>
  <si>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</si>
  <si>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</si>
  <si>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</si>
  <si>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</si>
  <si>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</si>
  <si>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</si>
  <si>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TXN100472</t>
  </si>
  <si>
    <t>TXN100473</t>
  </si>
  <si>
    <t>TXN100474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</si>
  <si>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</si>
  <si>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</si>
  <si>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</si>
  <si>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</si>
  <si>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</si>
  <si>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</si>
  <si>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</si>
  <si>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</si>
  <si>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</si>
  <si>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</si>
  <si>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</si>
  <si>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</si>
  <si>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</si>
  <si>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</si>
  <si>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</si>
  <si>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</si>
  <si>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</si>
  <si>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</si>
  <si>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</si>
  <si>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</si>
  <si>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</si>
  <si>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</si>
  <si>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</si>
  <si>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</si>
  <si>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</si>
  <si>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</si>
  <si>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</si>
  <si>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</si>
  <si>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</si>
  <si>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</si>
  <si>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</si>
  <si>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</si>
  <si>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</si>
  <si>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</si>
  <si>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</si>
  <si>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</si>
  <si>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</si>
  <si>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</si>
  <si>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</si>
  <si>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</si>
  <si>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</si>
  <si>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</si>
  <si>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</si>
  <si>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</si>
  <si>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</si>
  <si>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</si>
  <si>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</si>
  <si>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</si>
  <si>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</si>
  <si>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</si>
  <si>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</si>
  <si>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</si>
  <si>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</si>
  <si>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</si>
  <si>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</si>
  <si>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</si>
  <si>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</si>
  <si>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</si>
  <si>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</si>
  <si>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</si>
  <si>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</si>
  <si>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</si>
  <si>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</si>
  <si>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</si>
  <si>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</si>
  <si>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</si>
  <si>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</si>
  <si>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TXN300031</t>
  </si>
  <si>
    <t>TXNX9000</t>
  </si>
  <si>
    <t>TXNX9001</t>
  </si>
  <si>
    <t>TXNX9002</t>
  </si>
  <si>
    <t>TXNX9003</t>
  </si>
  <si>
    <t>TXNX9004</t>
  </si>
  <si>
    <t>TXNX9005</t>
  </si>
  <si>
    <t>TXNX9006</t>
  </si>
  <si>
    <t>TXNX9007</t>
  </si>
  <si>
    <t>TXNX9008</t>
  </si>
  <si>
    <t>TXNX9009</t>
  </si>
  <si>
    <t>Source: merchant_workbook.ods, sheet "Sheet1" (transaction-level export with merchant attributes), deduplicated to one row per merchant_id.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</si>
  <si>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</si>
  <si>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</si>
  <si>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</si>
  <si>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</si>
  <si>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</si>
  <si>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</si>
  <si>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</si>
  <si>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</si>
  <si>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</si>
  <si>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</si>
  <si>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</si>
  <si>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</si>
  <si>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</si>
  <si>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</si>
  <si>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</si>
  <si>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</si>
  <si>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</si>
  <si>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</si>
  <si>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</si>
  <si>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</si>
  <si>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</si>
  <si>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</si>
  <si>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</si>
  <si>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</si>
  <si>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</si>
  <si>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</si>
  <si>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</si>
  <si>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</si>
  <si>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</si>
  <si>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</si>
  <si>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</si>
  <si>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</si>
  <si>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</si>
  <si>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</si>
  <si>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</si>
  <si>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</si>
  <si>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</si>
  <si>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</si>
  <si>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</si>
  <si>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</si>
  <si>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</si>
  <si>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</si>
  <si>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</si>
  <si>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</si>
  <si>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</si>
  <si>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</si>
  <si>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</si>
  <si>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</si>
  <si>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</si>
  <si>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</si>
  <si>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</si>
  <si>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</si>
  <si>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</si>
  <si>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</si>
  <si>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Pivot: Sum of amount_inr, filtered to status = "captured", grouped by Date (rows) x merchant_id (columns). Feeds the Merchant Daily Total lookup on Sheet1 via INDEX/MATCH.</t>
  </si>
  <si>
    <t>Date</t>
  </si>
  <si>
    <t>TXN100000</t>
  </si>
  <si>
    <t>Row Labels</t>
  </si>
  <si>
    <t>(blank)</t>
  </si>
  <si>
    <t>Grand Total</t>
  </si>
  <si>
    <t>Sum of amount_inr</t>
  </si>
  <si>
    <t>Column Labels</t>
  </si>
  <si>
    <t>Count of transaction_id</t>
  </si>
  <si>
    <t>StdDev of txn_date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</si>
</sst>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yyyy\-mm\-dd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mbria"/>
      <family val="1"/>
    </font>
    <font>
      <i/>
      <sz val="9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 applyBorder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3" fillId="2" borderId="0" xfId="0" applyFont="1" applyFill="1"/>
    <xf numFmtId="164" fontId="0" fillId="0" borderId="0" xfId="0" applyNumberFormat="1"/>
    <xf numFmtId="0" fontId="0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2" fillId="3" borderId="0" xfId="0" applyFont="1" applyFill="1"/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</cellXfs>
  <cellStyles count="1">
    <cellStyle name="Normal" xfId="0" builtinId="0"/>
  </cellStyles>
  <dxfs count="6">
    <dxf/>
    <dxf/>
    <dxf/>
    <dxf/>
    <dxf/>
    <dxf/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rch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merchant_id</v>
          </cell>
          <cell r="B1" t="str">
            <v>merchant_name</v>
          </cell>
          <cell r="C1" t="str">
            <v>category</v>
          </cell>
        </row>
        <row r="2">
          <cell r="A2">
            <v>1</v>
          </cell>
          <cell r="B2" t="str">
            <v>Merchant_001</v>
          </cell>
          <cell r="C2" t="str">
            <v>ecommerce</v>
          </cell>
        </row>
        <row r="3">
          <cell r="A3">
            <v>2</v>
          </cell>
          <cell r="B3" t="str">
            <v>Merchant_002</v>
          </cell>
          <cell r="C3" t="str">
            <v>grocery</v>
          </cell>
        </row>
        <row r="4">
          <cell r="A4">
            <v>3</v>
          </cell>
          <cell r="B4" t="str">
            <v>Merchant_003</v>
          </cell>
          <cell r="C4" t="str">
            <v>grocery</v>
          </cell>
        </row>
        <row r="5">
          <cell r="A5">
            <v>4</v>
          </cell>
          <cell r="B5" t="str">
            <v>Merchant_004</v>
          </cell>
          <cell r="C5" t="str">
            <v>ecommerce</v>
          </cell>
        </row>
        <row r="6">
          <cell r="A6">
            <v>5</v>
          </cell>
          <cell r="B6" t="str">
            <v>Merchant_005</v>
          </cell>
          <cell r="C6" t="str">
            <v>recharge</v>
          </cell>
        </row>
        <row r="7">
          <cell r="A7">
            <v>6</v>
          </cell>
          <cell r="B7" t="str">
            <v>Merchant_006</v>
          </cell>
          <cell r="C7" t="str">
            <v>food_delivery</v>
          </cell>
        </row>
        <row r="8">
          <cell r="A8">
            <v>7</v>
          </cell>
          <cell r="B8" t="str">
            <v>Merchant_007</v>
          </cell>
          <cell r="C8" t="str">
            <v>food_delivery</v>
          </cell>
        </row>
        <row r="9">
          <cell r="A9">
            <v>8</v>
          </cell>
          <cell r="B9" t="str">
            <v>Merchant_008</v>
          </cell>
          <cell r="C9" t="str">
            <v>food_delivery</v>
          </cell>
        </row>
        <row r="10">
          <cell r="A10">
            <v>9</v>
          </cell>
          <cell r="B10" t="str">
            <v>Merchant_009</v>
          </cell>
          <cell r="C10" t="str">
            <v>ecommerce</v>
          </cell>
        </row>
        <row r="11">
          <cell r="A11">
            <v>10</v>
          </cell>
          <cell r="B11" t="str">
            <v>Merchant_010</v>
          </cell>
          <cell r="C11" t="str">
            <v>grocery</v>
          </cell>
        </row>
        <row r="12">
          <cell r="A12">
            <v>11</v>
          </cell>
          <cell r="B12" t="str">
            <v>Merchant_011</v>
          </cell>
          <cell r="C12" t="str">
            <v>ecommerce</v>
          </cell>
        </row>
        <row r="13">
          <cell r="A13">
            <v>12</v>
          </cell>
          <cell r="B13" t="str">
            <v>Merchant_012</v>
          </cell>
          <cell r="C13" t="str">
            <v>ecommerce</v>
          </cell>
        </row>
        <row r="14">
          <cell r="A14">
            <v>13</v>
          </cell>
          <cell r="B14" t="str">
            <v>Merchant_013</v>
          </cell>
          <cell r="C14" t="str">
            <v>travel</v>
          </cell>
        </row>
        <row r="15">
          <cell r="A15">
            <v>14</v>
          </cell>
          <cell r="B15" t="str">
            <v>Merchant_014</v>
          </cell>
          <cell r="C15" t="str">
            <v>grocery</v>
          </cell>
        </row>
        <row r="16">
          <cell r="A16">
            <v>15</v>
          </cell>
          <cell r="B16" t="str">
            <v>Merchant_015</v>
          </cell>
          <cell r="C16" t="str">
            <v>travel</v>
          </cell>
        </row>
        <row r="17">
          <cell r="A17">
            <v>16</v>
          </cell>
          <cell r="B17" t="str">
            <v>Merchant_016</v>
          </cell>
          <cell r="C17" t="str">
            <v>bill_payment</v>
          </cell>
        </row>
        <row r="18">
          <cell r="A18">
            <v>17</v>
          </cell>
          <cell r="B18" t="str">
            <v>Merchant_017</v>
          </cell>
          <cell r="C18" t="str">
            <v>grocery</v>
          </cell>
        </row>
        <row r="19">
          <cell r="A19">
            <v>18</v>
          </cell>
          <cell r="B19" t="str">
            <v>Merchant_018</v>
          </cell>
          <cell r="C19" t="str">
            <v>grocery</v>
          </cell>
        </row>
        <row r="20">
          <cell r="A20">
            <v>19</v>
          </cell>
          <cell r="B20" t="str">
            <v>Merchant_019</v>
          </cell>
          <cell r="C20" t="str">
            <v>grocery</v>
          </cell>
        </row>
        <row r="21">
          <cell r="A21">
            <v>20</v>
          </cell>
          <cell r="B21" t="str">
            <v>Merchant_020</v>
          </cell>
          <cell r="C21" t="str">
            <v>food_delivery</v>
          </cell>
        </row>
        <row r="22">
          <cell r="A22">
            <v>21</v>
          </cell>
          <cell r="B22" t="str">
            <v>Merchant_021</v>
          </cell>
          <cell r="C22" t="str">
            <v>food_delivery</v>
          </cell>
        </row>
        <row r="23">
          <cell r="A23">
            <v>22</v>
          </cell>
          <cell r="B23" t="str">
            <v>Merchant_022</v>
          </cell>
          <cell r="C23" t="str">
            <v>travel</v>
          </cell>
        </row>
        <row r="24">
          <cell r="A24">
            <v>23</v>
          </cell>
          <cell r="B24" t="str">
            <v>Merchant_023</v>
          </cell>
          <cell r="C24" t="str">
            <v>travel</v>
          </cell>
        </row>
        <row r="25">
          <cell r="A25">
            <v>24</v>
          </cell>
          <cell r="B25" t="str">
            <v>Merchant_024</v>
          </cell>
          <cell r="C25" t="str">
            <v>grocery</v>
          </cell>
        </row>
        <row r="26">
          <cell r="A26">
            <v>25</v>
          </cell>
          <cell r="B26" t="str">
            <v>Merchant_025</v>
          </cell>
          <cell r="C26" t="str">
            <v>travel</v>
          </cell>
        </row>
        <row r="27">
          <cell r="A27">
            <v>26</v>
          </cell>
          <cell r="B27" t="str">
            <v>Merchant_026</v>
          </cell>
          <cell r="C27" t="str">
            <v>food_delivery</v>
          </cell>
        </row>
        <row r="28">
          <cell r="A28">
            <v>27</v>
          </cell>
          <cell r="B28" t="str">
            <v>Merchant_027</v>
          </cell>
          <cell r="C28" t="str">
            <v>ecommerce</v>
          </cell>
        </row>
        <row r="29">
          <cell r="A29">
            <v>28</v>
          </cell>
          <cell r="B29" t="str">
            <v>Merchant_028</v>
          </cell>
          <cell r="C29" t="str">
            <v>ecommerce</v>
          </cell>
        </row>
        <row r="30">
          <cell r="A30">
            <v>29</v>
          </cell>
          <cell r="B30" t="str">
            <v>Merchant_029</v>
          </cell>
          <cell r="C30" t="str">
            <v>ecommerce</v>
          </cell>
        </row>
        <row r="31">
          <cell r="A31">
            <v>30</v>
          </cell>
          <cell r="B31" t="str">
            <v>Merchant_030</v>
          </cell>
          <cell r="C31" t="str">
            <v>travel</v>
          </cell>
        </row>
        <row r="32">
          <cell r="A32">
            <v>31</v>
          </cell>
          <cell r="B32" t="str">
            <v>Merchant_031</v>
          </cell>
          <cell r="C32" t="str">
            <v>bill_payment</v>
          </cell>
        </row>
        <row r="33">
          <cell r="A33">
            <v>32</v>
          </cell>
          <cell r="B33" t="str">
            <v>Merchant_032</v>
          </cell>
          <cell r="C33" t="str">
            <v>food_delivery</v>
          </cell>
        </row>
        <row r="34">
          <cell r="A34">
            <v>33</v>
          </cell>
          <cell r="B34" t="str">
            <v>Merchant_033</v>
          </cell>
          <cell r="C34" t="str">
            <v>bill_payment</v>
          </cell>
        </row>
        <row r="35">
          <cell r="A35">
            <v>34</v>
          </cell>
          <cell r="B35" t="str">
            <v>Merchant_034</v>
          </cell>
          <cell r="C35" t="str">
            <v>travel</v>
          </cell>
        </row>
        <row r="36">
          <cell r="A36">
            <v>35</v>
          </cell>
          <cell r="B36" t="str">
            <v>Merchant_035</v>
          </cell>
          <cell r="C36" t="str">
            <v>recharge</v>
          </cell>
        </row>
        <row r="37">
          <cell r="A37">
            <v>36</v>
          </cell>
          <cell r="B37" t="str">
            <v>Merchant_036</v>
          </cell>
          <cell r="C37" t="str">
            <v>entertainment</v>
          </cell>
        </row>
        <row r="38">
          <cell r="A38">
            <v>37</v>
          </cell>
          <cell r="B38" t="str">
            <v>Merchant_037</v>
          </cell>
          <cell r="C38" t="str">
            <v>entertainment</v>
          </cell>
        </row>
        <row r="39">
          <cell r="A39">
            <v>38</v>
          </cell>
          <cell r="B39" t="str">
            <v>Merchant_038</v>
          </cell>
          <cell r="C39" t="str">
            <v>grocery</v>
          </cell>
        </row>
        <row r="40">
          <cell r="A40">
            <v>39</v>
          </cell>
          <cell r="B40" t="str">
            <v>Merchant_039</v>
          </cell>
          <cell r="C40" t="str">
            <v>entertainment</v>
          </cell>
        </row>
        <row r="41">
          <cell r="A41">
            <v>40</v>
          </cell>
          <cell r="B41" t="str">
            <v>Merchant_040</v>
          </cell>
          <cell r="C41" t="str">
            <v>entertainment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vil" refreshedDate="46267.032798148146" createdVersion="5" refreshedVersion="5" minRefreshableVersion="3" recordCount="549">
  <cacheSource type="worksheet">
    <worksheetSource ref="A1:M1048576" sheet="Master"/>
  </cacheSource>
  <cacheFields count="13">
    <cacheField name="transaction_id" numFmtId="0">
      <sharedItems containsBlank="1" count="532">
        <s v="TXN100000"/>
        <s v="TXN100001"/>
        <s v="TXN100002"/>
        <s v="TXN100003"/>
        <s v="TXN100004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7"/>
        <s v="TXN100038"/>
        <s v="TXN100039"/>
        <s v="TXN100040"/>
        <s v="TXN100041"/>
        <s v="TXN100042"/>
        <s v="TXN100043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1"/>
        <s v="TXN100132"/>
        <s v="TXN100133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1"/>
        <s v="TXN100252"/>
        <s v="TXN100253"/>
        <s v="TXN100254"/>
        <s v="TXN100255"/>
        <s v="TXN100256"/>
        <s v="TXN100257"/>
        <s v="TXN100258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5"/>
        <s v="TXN100326"/>
        <s v="TXN100327"/>
        <s v="TXN100328"/>
        <s v="TXN100329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2"/>
        <s v="TXN100353"/>
        <s v="TXN100354"/>
        <s v="TXN100355"/>
        <s v="TXN100356"/>
        <s v="TXN100357"/>
        <s v="TXN100358"/>
        <s v="TXN100359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1"/>
        <s v="TXN100392"/>
        <s v="TXN100393"/>
        <s v="TXN100394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2"/>
        <s v="TXN100473"/>
        <s v="TXN100474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1"/>
        <s v="TXNX9000"/>
        <s v="TXNX9001"/>
        <s v="TXNX9002"/>
        <s v="TXNX9003"/>
        <s v="TXNX9004"/>
        <s v="TXNX9005"/>
        <s v="TXNX9006"/>
        <s v="TXNX9007"/>
        <s v="TXNX9008"/>
        <s v="TXNX9009"/>
        <m/>
      </sharedItems>
    </cacheField>
    <cacheField name="user_id" numFmtId="0">
      <sharedItems containsString="0" containsBlank="1" containsNumber="1" containsInteger="1" minValue="1" maxValue="365"/>
    </cacheField>
    <cacheField name="merchant_id" numFmtId="0">
      <sharedItems containsString="0" containsBlank="1" containsNumber="1" containsInteger="1" minValue="1" maxValue="40" count="41">
        <n v="16"/>
        <n v="27"/>
        <n v="11"/>
        <n v="22"/>
        <n v="23"/>
        <n v="13"/>
        <n v="18"/>
        <n v="35"/>
        <n v="12"/>
        <n v="28"/>
        <n v="33"/>
        <n v="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5"/>
        <n v="32"/>
        <n v="10"/>
        <n v="38"/>
        <n v="34"/>
        <n v="1"/>
        <n v="39"/>
        <n v="24"/>
        <n v="9"/>
        <m/>
      </sharedItems>
    </cacheField>
    <cacheField name="merchant_name" numFmtId="0">
      <sharedItems containsBlank="1"/>
    </cacheField>
    <cacheField name="transaction_time" numFmtId="0">
      <sharedItems containsNonDate="0" containsDate="1" containsString="0" containsBlank="1" minDate="2026-01-01T00:00:00" maxDate="2026-01-30T23:17:00"/>
    </cacheField>
    <cacheField name="amount_inr" numFmtId="0">
      <sharedItems containsString="0" containsBlank="1" containsNumber="1" containsInteger="1" minValue="-51" maxValue="4999" count="22">
        <n v="2999"/>
        <n v="49"/>
        <n v="1499"/>
        <n v="99"/>
        <n v="799"/>
        <n v="299"/>
        <n v="2949"/>
        <n v="499"/>
        <n v="149"/>
        <n v="1399"/>
        <n v="4999"/>
        <n v="-51"/>
        <n v="-1"/>
        <n v="349"/>
        <n v="899"/>
        <n v="249"/>
        <n v="549"/>
        <n v="3099"/>
        <n v="1999"/>
        <n v="999"/>
        <n v="399"/>
        <m/>
      </sharedItems>
    </cacheField>
    <cacheField name="payment_method" numFmtId="0">
      <sharedItems containsBlank="1"/>
    </cacheField>
    <cacheField name="status" numFmtId="0">
      <sharedItems containsBlank="1" count="4">
        <s v="captured"/>
        <s v="failed"/>
        <s v="chargeback"/>
        <m/>
      </sharedItems>
    </cacheField>
    <cacheField name="risk_score" numFmtId="0">
      <sharedItems containsString="0" containsBlank="1" containsNumber="1" containsInteger="1" minValue="0" maxValue="100"/>
    </cacheField>
    <cacheField name="txn_date" numFmtId="0">
      <sharedItems containsNonDate="0" containsDate="1" containsString="0" containsBlank="1" minDate="2026-01-01T00:00:00" maxDate="2026-01-31T00:00:00"/>
    </cacheField>
    <cacheField name="merchant_daily_total_captured_inr" numFmtId="0">
      <sharedItems containsString="0" containsBlank="1" containsNumber="1" containsInteger="1" minValue="-51" maxValue="7998"/>
    </cacheField>
    <cacheField name="merchant_region" numFmtId="0">
      <sharedItems containsBlank="1"/>
    </cacheField>
    <cacheField name="classifi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9">
  <r>
    <x v="0"/>
    <n v="350"/>
    <x v="0"/>
    <s v="Merchant_016"/>
    <d v="2026-01-29T11:13:00"/>
    <x v="0"/>
    <m/>
    <x v="0"/>
    <n v="85"/>
    <d v="2026-01-29T00:00:00"/>
    <n v="0"/>
    <s v="West"/>
    <s v=""/>
  </r>
  <r>
    <x v="1"/>
    <n v="287"/>
    <x v="1"/>
    <s v="Merchant_027"/>
    <d v="2026-01-04T11:49:00"/>
    <x v="1"/>
    <s v="UPI"/>
    <x v="0"/>
    <n v="79"/>
    <d v="2026-01-04T00:00:00"/>
    <n v="49"/>
    <s v="North"/>
    <s v=""/>
  </r>
  <r>
    <x v="2"/>
    <n v="122"/>
    <x v="2"/>
    <s v="Merchant_011"/>
    <d v="2026-01-24T04:59:00"/>
    <x v="2"/>
    <s v="Wallet"/>
    <x v="0"/>
    <n v="22"/>
    <d v="2026-01-24T00:00:00"/>
    <n v="1798"/>
    <s v="North"/>
    <s v=""/>
  </r>
  <r>
    <x v="3"/>
    <n v="92"/>
    <x v="3"/>
    <s v="Merchant_022"/>
    <d v="2026-01-29T13:01:00"/>
    <x v="1"/>
    <s v="Netbanking"/>
    <x v="0"/>
    <n v="100"/>
    <d v="2026-01-29T00:00:00"/>
    <n v="49"/>
    <s v="South"/>
    <s v=""/>
  </r>
  <r>
    <x v="4"/>
    <n v="343"/>
    <x v="0"/>
    <s v="Merchant_016"/>
    <d v="2026-01-30T13:51:00"/>
    <x v="3"/>
    <s v="UPI"/>
    <x v="0"/>
    <n v="34"/>
    <d v="2026-01-30T00:00:00"/>
    <n v="898"/>
    <s v="West"/>
    <s v=""/>
  </r>
  <r>
    <x v="5"/>
    <n v="236"/>
    <x v="4"/>
    <s v="Merchant_023"/>
    <d v="2026-01-08T06:52:00"/>
    <x v="3"/>
    <s v="Wallet"/>
    <x v="0"/>
    <n v="39"/>
    <d v="2026-01-08T00:00:00"/>
    <n v="99"/>
    <s v="North"/>
    <s v=""/>
  </r>
  <r>
    <x v="6"/>
    <n v="13"/>
    <x v="5"/>
    <s v="Merchant_013"/>
    <d v="2026-01-27T07:14:00"/>
    <x v="3"/>
    <s v="UPI"/>
    <x v="0"/>
    <n v="51"/>
    <d v="2026-01-27T00:00:00"/>
    <n v="1598"/>
    <s v="East"/>
    <s v=""/>
  </r>
  <r>
    <x v="7"/>
    <n v="36"/>
    <x v="6"/>
    <s v="Merchant_018"/>
    <d v="2026-01-11T08:55:00"/>
    <x v="4"/>
    <s v="UPI"/>
    <x v="0"/>
    <n v="44"/>
    <d v="2026-01-11T00:00:00"/>
    <n v="799"/>
    <s v="West"/>
    <s v=""/>
  </r>
  <r>
    <x v="8"/>
    <n v="348"/>
    <x v="7"/>
    <s v="Merchant_035"/>
    <d v="2026-01-21T16:25:00"/>
    <x v="5"/>
    <s v="UPI"/>
    <x v="0"/>
    <n v="42"/>
    <d v="2026-01-21T00:00:00"/>
    <n v="299"/>
    <s v="East"/>
    <s v=""/>
  </r>
  <r>
    <x v="9"/>
    <n v="134"/>
    <x v="8"/>
    <s v="Merchant_012"/>
    <d v="2026-01-01T03:56:00"/>
    <x v="1"/>
    <s v="UPI"/>
    <x v="0"/>
    <n v="74"/>
    <d v="2026-01-01T00:00:00"/>
    <n v="548"/>
    <s v="East"/>
    <s v=""/>
  </r>
  <r>
    <x v="10"/>
    <n v="306"/>
    <x v="9"/>
    <s v="Merchant_028"/>
    <d v="2026-01-09T01:06:00"/>
    <x v="6"/>
    <s v="Card"/>
    <x v="1"/>
    <n v="44"/>
    <d v="2026-01-09T00:00:00"/>
    <n v="0"/>
    <s v="South"/>
    <s v=""/>
  </r>
  <r>
    <x v="11"/>
    <n v="311"/>
    <x v="10"/>
    <s v="Merchant_033"/>
    <d v="2026-01-24T10:27:00"/>
    <x v="1"/>
    <s v="Wallet"/>
    <x v="0"/>
    <n v="14"/>
    <d v="2026-01-24T00:00:00"/>
    <n v="49"/>
    <s v="East"/>
    <s v=""/>
  </r>
  <r>
    <x v="12"/>
    <n v="131"/>
    <x v="11"/>
    <s v="Merchant_003"/>
    <d v="2026-01-13T18:12:00"/>
    <x v="1"/>
    <s v="UPI"/>
    <x v="0"/>
    <n v="90"/>
    <d v="2026-01-13T00:00:00"/>
    <n v="49"/>
    <s v="East"/>
    <s v=""/>
  </r>
  <r>
    <x v="13"/>
    <n v="276"/>
    <x v="5"/>
    <s v="Merchant_013"/>
    <d v="2026-01-14T00:33:00"/>
    <x v="2"/>
    <s v="UPI"/>
    <x v="0"/>
    <n v="46"/>
    <d v="2026-01-14T00:00:00"/>
    <n v="1499"/>
    <s v="East"/>
    <s v=""/>
  </r>
  <r>
    <x v="14"/>
    <n v="170"/>
    <x v="12"/>
    <s v="Merchant_040"/>
    <d v="2026-01-14T02:42:00"/>
    <x v="3"/>
    <s v="UPI"/>
    <x v="0"/>
    <n v="40"/>
    <d v="2026-01-14T00:00:00"/>
    <n v="99"/>
    <s v="South"/>
    <s v=""/>
  </r>
  <r>
    <x v="15"/>
    <n v="154"/>
    <x v="10"/>
    <s v="Merchant_033"/>
    <d v="2026-01-22T03:46:00"/>
    <x v="3"/>
    <s v="Netbanking"/>
    <x v="0"/>
    <n v="39"/>
    <d v="2026-01-22T00:00:00"/>
    <n v="99"/>
    <s v="East"/>
    <s v=""/>
  </r>
  <r>
    <x v="16"/>
    <n v="207"/>
    <x v="13"/>
    <s v="Merchant_019"/>
    <d v="2026-01-22T13:20:00"/>
    <x v="0"/>
    <s v="Card"/>
    <x v="0"/>
    <n v="70"/>
    <d v="2026-01-22T00:00:00"/>
    <n v="2999"/>
    <s v="North"/>
    <s v=""/>
  </r>
  <r>
    <x v="17"/>
    <n v="341"/>
    <x v="14"/>
    <s v="Merchant_025"/>
    <d v="2026-01-05T06:26:00"/>
    <x v="0"/>
    <s v="UPI"/>
    <x v="0"/>
    <n v="86"/>
    <d v="2026-01-05T00:00:00"/>
    <n v="4498"/>
    <s v="South"/>
    <s v=""/>
  </r>
  <r>
    <x v="18"/>
    <n v="292"/>
    <x v="15"/>
    <s v="Merchant_020"/>
    <d v="2026-01-24T05:39:00"/>
    <x v="3"/>
    <s v="UPI"/>
    <x v="0"/>
    <n v="51"/>
    <d v="2026-01-24T00:00:00"/>
    <n v="99"/>
    <s v="East"/>
    <s v=""/>
  </r>
  <r>
    <x v="19"/>
    <n v="147"/>
    <x v="16"/>
    <s v="Merchant_014"/>
    <d v="2026-01-18T00:19:00"/>
    <x v="3"/>
    <s v="Card"/>
    <x v="0"/>
    <n v="55"/>
    <d v="2026-01-18T00:00:00"/>
    <n v="99"/>
    <s v="East"/>
    <s v=""/>
  </r>
  <r>
    <x v="20"/>
    <n v="336"/>
    <x v="17"/>
    <s v="Merchant_021"/>
    <d v="2026-01-26T18:38:00"/>
    <x v="3"/>
    <s v="UPI"/>
    <x v="0"/>
    <n v="59"/>
    <d v="2026-01-26T00:00:00"/>
    <n v="99"/>
    <s v="East"/>
    <s v=""/>
  </r>
  <r>
    <x v="21"/>
    <n v="110"/>
    <x v="10"/>
    <s v="Merchant_033"/>
    <d v="2026-01-15T14:43:00"/>
    <x v="4"/>
    <s v="UPI"/>
    <x v="0"/>
    <n v="60"/>
    <d v="2026-01-15T00:00:00"/>
    <n v="799"/>
    <s v="East"/>
    <s v=""/>
  </r>
  <r>
    <x v="22"/>
    <n v="338"/>
    <x v="18"/>
    <s v="Merchant_006"/>
    <d v="2026-01-26T23:10:00"/>
    <x v="4"/>
    <s v="UPI"/>
    <x v="2"/>
    <n v="36"/>
    <d v="2026-01-26T00:00:00"/>
    <n v="49"/>
    <s v="South"/>
    <s v=""/>
  </r>
  <r>
    <x v="23"/>
    <n v="318"/>
    <x v="3"/>
    <s v="Merchant_022"/>
    <d v="2026-01-17T21:40:00"/>
    <x v="4"/>
    <s v="Wallet"/>
    <x v="0"/>
    <n v="11"/>
    <d v="2026-01-17T00:00:00"/>
    <n v="1598"/>
    <s v="South"/>
    <s v=""/>
  </r>
  <r>
    <x v="24"/>
    <n v="159"/>
    <x v="19"/>
    <s v="Merchant_015"/>
    <d v="2026-01-27T07:43:00"/>
    <x v="4"/>
    <s v="UPI"/>
    <x v="0"/>
    <n v="25"/>
    <d v="2026-01-27T00:00:00"/>
    <n v="799"/>
    <s v="North"/>
    <s v=""/>
  </r>
  <r>
    <x v="25"/>
    <n v="126"/>
    <x v="20"/>
    <s v="Merchant_031"/>
    <d v="2026-01-05T00:02:00"/>
    <x v="1"/>
    <s v="Card"/>
    <x v="0"/>
    <n v="78"/>
    <d v="2026-01-05T00:00:00"/>
    <n v="49"/>
    <s v="East"/>
    <s v=""/>
  </r>
  <r>
    <x v="26"/>
    <n v="213"/>
    <x v="21"/>
    <s v="Merchant_037"/>
    <d v="2026-01-28T02:29:00"/>
    <x v="3"/>
    <s v="UPI"/>
    <x v="0"/>
    <n v="24"/>
    <d v="2026-01-28T00:00:00"/>
    <n v="99"/>
    <s v="South"/>
    <s v=""/>
  </r>
  <r>
    <x v="27"/>
    <n v="254"/>
    <x v="22"/>
    <s v="Merchant_026"/>
    <d v="2026-01-23T22:24:00"/>
    <x v="3"/>
    <s v="Wallet"/>
    <x v="0"/>
    <n v="31"/>
    <d v="2026-01-23T00:00:00"/>
    <n v="99"/>
    <s v="East"/>
    <s v=""/>
  </r>
  <r>
    <x v="28"/>
    <n v="3"/>
    <x v="23"/>
    <s v="Merchant_007"/>
    <d v="2026-01-05T20:44:00"/>
    <x v="2"/>
    <s v="UPI"/>
    <x v="0"/>
    <n v="99"/>
    <d v="2026-01-05T00:00:00"/>
    <n v="4498"/>
    <s v="East"/>
    <s v=""/>
  </r>
  <r>
    <x v="29"/>
    <n v="266"/>
    <x v="24"/>
    <s v="Merchant_030"/>
    <d v="2026-01-14T07:11:00"/>
    <x v="7"/>
    <s v="Card"/>
    <x v="0"/>
    <n v="6"/>
    <d v="2026-01-14T00:00:00"/>
    <n v="2497"/>
    <s v="West"/>
    <s v=""/>
  </r>
  <r>
    <x v="30"/>
    <n v="63"/>
    <x v="24"/>
    <s v="Merchant_030"/>
    <d v="2026-01-18T07:58:00"/>
    <x v="4"/>
    <s v="UPI"/>
    <x v="0"/>
    <n v="17"/>
    <d v="2026-01-18T00:00:00"/>
    <n v="799"/>
    <s v="West"/>
    <s v=""/>
  </r>
  <r>
    <x v="31"/>
    <n v="272"/>
    <x v="25"/>
    <s v="Merchant_036"/>
    <d v="2026-01-26T14:42:00"/>
    <x v="8"/>
    <s v="UPI"/>
    <x v="0"/>
    <n v="76"/>
    <d v="2026-01-26T00:00:00"/>
    <n v="198"/>
    <s v="East"/>
    <s v=""/>
  </r>
  <r>
    <x v="32"/>
    <n v="259"/>
    <x v="9"/>
    <s v="Merchant_028"/>
    <d v="2026-01-11T14:39:00"/>
    <x v="1"/>
    <s v="Wallet"/>
    <x v="0"/>
    <n v="70"/>
    <d v="2026-01-11T00:00:00"/>
    <n v="49"/>
    <s v="South"/>
    <s v=""/>
  </r>
  <r>
    <x v="33"/>
    <n v="244"/>
    <x v="26"/>
    <s v="Merchant_029"/>
    <d v="2026-01-15T05:47:00"/>
    <x v="5"/>
    <s v="Netbanking"/>
    <x v="0"/>
    <n v="33"/>
    <d v="2026-01-15T00:00:00"/>
    <n v="1098"/>
    <s v="North"/>
    <s v=""/>
  </r>
  <r>
    <x v="34"/>
    <n v="327"/>
    <x v="6"/>
    <s v="Merchant_018"/>
    <d v="2026-01-25T07:53:00"/>
    <x v="8"/>
    <s v="Card"/>
    <x v="0"/>
    <n v="98"/>
    <d v="2026-01-25T00:00:00"/>
    <n v="6647"/>
    <s v="West"/>
    <s v="High-Value Merchant Day"/>
  </r>
  <r>
    <x v="35"/>
    <n v="147"/>
    <x v="0"/>
    <s v="Merchant_016"/>
    <d v="2026-01-15T02:45:00"/>
    <x v="0"/>
    <s v="Card"/>
    <x v="0"/>
    <n v="34"/>
    <d v="2026-01-15T00:00:00"/>
    <n v="2999"/>
    <s v="West"/>
    <s v=""/>
  </r>
  <r>
    <x v="36"/>
    <n v="277"/>
    <x v="18"/>
    <s v="Merchant_006"/>
    <d v="2026-01-11T10:57:00"/>
    <x v="2"/>
    <s v="Card"/>
    <x v="0"/>
    <n v="17"/>
    <d v="2026-01-11T00:00:00"/>
    <n v="1499"/>
    <s v="South"/>
    <s v=""/>
  </r>
  <r>
    <x v="37"/>
    <n v="79"/>
    <x v="16"/>
    <s v="Merchant_014"/>
    <d v="2026-01-05T07:24:00"/>
    <x v="9"/>
    <s v="UPI"/>
    <x v="0"/>
    <n v="8"/>
    <d v="2026-01-05T00:00:00"/>
    <n v="1399"/>
    <s v="East"/>
    <s v=""/>
  </r>
  <r>
    <x v="38"/>
    <n v="278"/>
    <x v="24"/>
    <s v="Merchant_030"/>
    <d v="2026-01-14T13:21:00"/>
    <x v="2"/>
    <s v="UPI"/>
    <x v="0"/>
    <n v="53"/>
    <d v="2026-01-14T00:00:00"/>
    <n v="2497"/>
    <s v="West"/>
    <s v=""/>
  </r>
  <r>
    <x v="39"/>
    <n v="216"/>
    <x v="14"/>
    <s v="Merchant_025"/>
    <d v="2026-01-02T06:53:00"/>
    <x v="3"/>
    <s v="UPI"/>
    <x v="0"/>
    <n v="98"/>
    <d v="2026-01-02T00:00:00"/>
    <n v="99"/>
    <s v="South"/>
    <s v=""/>
  </r>
  <r>
    <x v="40"/>
    <n v="295"/>
    <x v="14"/>
    <s v="Merchant_025"/>
    <d v="2026-01-19T22:01:00"/>
    <x v="2"/>
    <s v="UPI"/>
    <x v="1"/>
    <n v="61"/>
    <d v="2026-01-19T00:00:00"/>
    <n v="2999"/>
    <s v="South"/>
    <s v=""/>
  </r>
  <r>
    <x v="41"/>
    <n v="200"/>
    <x v="1"/>
    <s v="Merchant_027"/>
    <d v="2026-01-01T11:19:00"/>
    <x v="8"/>
    <s v="UPI"/>
    <x v="0"/>
    <n v="68"/>
    <d v="2026-01-01T00:00:00"/>
    <n v="149"/>
    <s v="North"/>
    <s v=""/>
  </r>
  <r>
    <x v="42"/>
    <n v="249"/>
    <x v="27"/>
    <s v="Merchant_002"/>
    <d v="2026-01-08T08:27:00"/>
    <x v="5"/>
    <s v="Wallet"/>
    <x v="0"/>
    <n v="49"/>
    <d v="2026-01-08T00:00:00"/>
    <n v="299"/>
    <s v="West"/>
    <s v=""/>
  </r>
  <r>
    <x v="43"/>
    <n v="208"/>
    <x v="2"/>
    <s v="Merchant_011"/>
    <d v="2026-01-11T21:43:00"/>
    <x v="10"/>
    <s v="Netbanking"/>
    <x v="0"/>
    <n v="59"/>
    <d v="2026-01-11T00:00:00"/>
    <n v="4999"/>
    <s v="North"/>
    <s v=""/>
  </r>
  <r>
    <x v="44"/>
    <n v="274"/>
    <x v="27"/>
    <s v="Merchant_002"/>
    <d v="2026-01-30T04:39:00"/>
    <x v="5"/>
    <s v="UPI"/>
    <x v="0"/>
    <n v="50"/>
    <d v="2026-01-30T00:00:00"/>
    <n v="299"/>
    <s v="West"/>
    <s v=""/>
  </r>
  <r>
    <x v="45"/>
    <n v="14"/>
    <x v="18"/>
    <s v="Merchant_006"/>
    <d v="2026-01-19T18:42:00"/>
    <x v="1"/>
    <s v="Wallet"/>
    <x v="0"/>
    <n v="82"/>
    <d v="2026-01-19T00:00:00"/>
    <n v="49"/>
    <s v="South"/>
    <s v=""/>
  </r>
  <r>
    <x v="46"/>
    <n v="237"/>
    <x v="8"/>
    <s v="Merchant_012"/>
    <d v="2026-01-14T04:55:00"/>
    <x v="1"/>
    <s v="UPI"/>
    <x v="0"/>
    <n v="6"/>
    <d v="2026-01-14T00:00:00"/>
    <n v="49"/>
    <s v="East"/>
    <s v=""/>
  </r>
  <r>
    <x v="47"/>
    <n v="109"/>
    <x v="24"/>
    <s v="Merchant_030"/>
    <d v="2026-01-09T12:20:00"/>
    <x v="3"/>
    <s v="UPI"/>
    <x v="0"/>
    <n v="41"/>
    <d v="2026-01-09T00:00:00"/>
    <n v="99"/>
    <s v="West"/>
    <s v=""/>
  </r>
  <r>
    <x v="48"/>
    <n v="216"/>
    <x v="28"/>
    <s v="Merchant_017"/>
    <d v="2026-01-11T12:17:00"/>
    <x v="10"/>
    <s v="UPI"/>
    <x v="0"/>
    <n v="10"/>
    <d v="2026-01-11T00:00:00"/>
    <n v="7998"/>
    <s v="North"/>
    <s v="High-Value Merchant Day"/>
  </r>
  <r>
    <x v="49"/>
    <n v="277"/>
    <x v="29"/>
    <s v="Merchant_004"/>
    <d v="2026-01-16T00:47:00"/>
    <x v="4"/>
    <s v="UPI"/>
    <x v="0"/>
    <n v="44"/>
    <d v="2026-01-16T00:00:00"/>
    <n v="799"/>
    <s v="East"/>
    <s v=""/>
  </r>
  <r>
    <x v="50"/>
    <n v="334"/>
    <x v="11"/>
    <s v="Merchant_003"/>
    <d v="2026-01-08T20:04:00"/>
    <x v="8"/>
    <s v="Wallet"/>
    <x v="0"/>
    <n v="96"/>
    <d v="2026-01-08T00:00:00"/>
    <n v="149"/>
    <s v="East"/>
    <s v=""/>
  </r>
  <r>
    <x v="51"/>
    <n v="11"/>
    <x v="12"/>
    <s v="Merchant_040"/>
    <d v="2026-01-01T07:12:00"/>
    <x v="5"/>
    <s v="UPI"/>
    <x v="0"/>
    <n v="19"/>
    <d v="2026-01-01T00:00:00"/>
    <n v="299"/>
    <s v="South"/>
    <s v=""/>
  </r>
  <r>
    <x v="52"/>
    <n v="343"/>
    <x v="30"/>
    <s v="Merchant_008"/>
    <d v="2026-01-08T04:30:00"/>
    <x v="3"/>
    <s v="UPI"/>
    <x v="0"/>
    <n v="72"/>
    <d v="2026-01-08T00:00:00"/>
    <n v="99"/>
    <s v="North"/>
    <s v=""/>
  </r>
  <r>
    <x v="53"/>
    <n v="59"/>
    <x v="2"/>
    <s v="Merchant_011"/>
    <d v="2026-01-20T19:47:00"/>
    <x v="5"/>
    <s v="UPI"/>
    <x v="0"/>
    <n v="39"/>
    <d v="2026-01-20T00:00:00"/>
    <n v="299"/>
    <s v="North"/>
    <s v=""/>
  </r>
  <r>
    <x v="54"/>
    <n v="160"/>
    <x v="21"/>
    <s v="Merchant_037"/>
    <d v="2026-01-04T18:01:00"/>
    <x v="1"/>
    <s v="Wallet"/>
    <x v="0"/>
    <n v="86"/>
    <d v="2026-01-04T00:00:00"/>
    <n v="49"/>
    <s v="South"/>
    <s v=""/>
  </r>
  <r>
    <x v="55"/>
    <n v="102"/>
    <x v="31"/>
    <s v="Merchant_005"/>
    <d v="2026-01-30T12:25:00"/>
    <x v="0"/>
    <s v="UPI"/>
    <x v="0"/>
    <n v="75"/>
    <d v="2026-01-30T00:00:00"/>
    <n v="2999"/>
    <s v="South"/>
    <s v=""/>
  </r>
  <r>
    <x v="56"/>
    <n v="53"/>
    <x v="15"/>
    <s v="Merchant_020"/>
    <d v="2026-01-23T20:15:00"/>
    <x v="1"/>
    <s v="Netbanking"/>
    <x v="0"/>
    <n v="87"/>
    <d v="2026-01-23T00:00:00"/>
    <n v="49"/>
    <s v="East"/>
    <s v=""/>
  </r>
  <r>
    <x v="57"/>
    <n v="290"/>
    <x v="11"/>
    <s v="Merchant_003"/>
    <d v="2026-01-20T03:50:00"/>
    <x v="3"/>
    <s v="Wallet"/>
    <x v="0"/>
    <n v="44"/>
    <d v="2026-01-20T00:00:00"/>
    <n v="99"/>
    <s v="East"/>
    <s v=""/>
  </r>
  <r>
    <x v="58"/>
    <n v="190"/>
    <x v="31"/>
    <s v="Merchant_005"/>
    <d v="2026-01-18T13:42:00"/>
    <x v="5"/>
    <s v="UPI"/>
    <x v="0"/>
    <n v="64"/>
    <d v="2026-01-18T00:00:00"/>
    <n v="299"/>
    <s v="South"/>
    <s v=""/>
  </r>
  <r>
    <x v="59"/>
    <n v="216"/>
    <x v="32"/>
    <s v="Merchant_032"/>
    <d v="2026-01-21T10:00:00"/>
    <x v="1"/>
    <s v="Card"/>
    <x v="0"/>
    <n v="13"/>
    <d v="2026-01-21T00:00:00"/>
    <n v="5347"/>
    <s v="West"/>
    <s v="High-Value Merchant Day"/>
  </r>
  <r>
    <x v="60"/>
    <n v="236"/>
    <x v="33"/>
    <s v="Merchant_010"/>
    <d v="2026-01-14T11:40:00"/>
    <x v="7"/>
    <s v="UPI"/>
    <x v="0"/>
    <n v="55"/>
    <d v="2026-01-14T00:00:00"/>
    <n v="499"/>
    <s v="West"/>
    <s v=""/>
  </r>
  <r>
    <x v="61"/>
    <n v="334"/>
    <x v="6"/>
    <s v="Merchant_018"/>
    <d v="2026-01-06T23:33:00"/>
    <x v="7"/>
    <s v="Card"/>
    <x v="0"/>
    <n v="78"/>
    <d v="2026-01-06T00:00:00"/>
    <n v="499"/>
    <s v="West"/>
    <s v=""/>
  </r>
  <r>
    <x v="62"/>
    <n v="248"/>
    <x v="24"/>
    <s v="Merchant_030"/>
    <d v="2026-01-26T17:49:00"/>
    <x v="4"/>
    <s v="Wallet"/>
    <x v="0"/>
    <n v="55"/>
    <d v="2026-01-26T00:00:00"/>
    <n v="799"/>
    <s v="West"/>
    <s v=""/>
  </r>
  <r>
    <x v="63"/>
    <n v="138"/>
    <x v="17"/>
    <s v="Merchant_021"/>
    <d v="2026-01-27T23:37:00"/>
    <x v="1"/>
    <s v="Card"/>
    <x v="0"/>
    <n v="31"/>
    <d v="2026-01-27T00:00:00"/>
    <n v="49"/>
    <s v="East"/>
    <s v=""/>
  </r>
  <r>
    <x v="64"/>
    <n v="231"/>
    <x v="0"/>
    <s v="Merchant_016"/>
    <d v="2026-01-27T02:17:00"/>
    <x v="1"/>
    <s v="UPI"/>
    <x v="0"/>
    <n v="96"/>
    <d v="2026-01-27T00:00:00"/>
    <n v="348"/>
    <s v="West"/>
    <s v=""/>
  </r>
  <r>
    <x v="65"/>
    <n v="343"/>
    <x v="14"/>
    <s v="Merchant_025"/>
    <d v="2026-01-15T18:39:00"/>
    <x v="1"/>
    <s v="UPI"/>
    <x v="0"/>
    <n v="43"/>
    <d v="2026-01-15T00:00:00"/>
    <n v="49"/>
    <s v="South"/>
    <s v=""/>
  </r>
  <r>
    <x v="66"/>
    <n v="167"/>
    <x v="8"/>
    <s v="Merchant_012"/>
    <d v="2026-01-01T15:54:00"/>
    <x v="7"/>
    <s v="Wallet"/>
    <x v="0"/>
    <n v="62"/>
    <d v="2026-01-01T00:00:00"/>
    <n v="548"/>
    <s v="East"/>
    <s v=""/>
  </r>
  <r>
    <x v="67"/>
    <n v="133"/>
    <x v="3"/>
    <s v="Merchant_022"/>
    <d v="2026-01-07T11:51:00"/>
    <x v="7"/>
    <s v="UPI"/>
    <x v="0"/>
    <n v="35"/>
    <d v="2026-01-07T00:00:00"/>
    <n v="499"/>
    <s v="South"/>
    <s v=""/>
  </r>
  <r>
    <x v="68"/>
    <n v="142"/>
    <x v="25"/>
    <s v="Merchant_036"/>
    <d v="2026-01-29T19:44:00"/>
    <x v="4"/>
    <s v="Wallet"/>
    <x v="0"/>
    <n v="1"/>
    <d v="2026-01-29T00:00:00"/>
    <n v="799"/>
    <s v="East"/>
    <s v=""/>
  </r>
  <r>
    <x v="69"/>
    <n v="124"/>
    <x v="1"/>
    <s v="Merchant_027"/>
    <d v="2026-01-17T06:05:00"/>
    <x v="7"/>
    <s v="Wallet"/>
    <x v="0"/>
    <n v="62"/>
    <d v="2026-01-17T00:00:00"/>
    <n v="798"/>
    <s v="North"/>
    <s v=""/>
  </r>
  <r>
    <x v="70"/>
    <n v="151"/>
    <x v="19"/>
    <s v="Merchant_015"/>
    <d v="2026-01-26T00:05:00"/>
    <x v="10"/>
    <s v="UPI"/>
    <x v="0"/>
    <n v="51"/>
    <d v="2026-01-26T00:00:00"/>
    <n v="4999"/>
    <s v="North"/>
    <s v=""/>
  </r>
  <r>
    <x v="71"/>
    <n v="340"/>
    <x v="34"/>
    <s v="Merchant_038"/>
    <d v="2026-01-23T07:19:00"/>
    <x v="7"/>
    <s v="Card"/>
    <x v="0"/>
    <n v="47"/>
    <d v="2026-01-23T00:00:00"/>
    <n v="499"/>
    <s v="East"/>
    <s v=""/>
  </r>
  <r>
    <x v="72"/>
    <n v="177"/>
    <x v="9"/>
    <s v="Merchant_028"/>
    <d v="2026-01-16T17:33:00"/>
    <x v="5"/>
    <s v="UPI"/>
    <x v="0"/>
    <n v="95"/>
    <d v="2026-01-16T00:00:00"/>
    <n v="299"/>
    <s v="South"/>
    <s v=""/>
  </r>
  <r>
    <x v="73"/>
    <n v="233"/>
    <x v="6"/>
    <s v="Merchant_018"/>
    <d v="2026-01-18T10:22:00"/>
    <x v="7"/>
    <s v="UPI"/>
    <x v="0"/>
    <n v="39"/>
    <d v="2026-01-18T00:00:00"/>
    <n v="499"/>
    <s v="West"/>
    <s v=""/>
  </r>
  <r>
    <x v="74"/>
    <n v="99"/>
    <x v="17"/>
    <s v="Merchant_021"/>
    <d v="2026-01-09T07:07:00"/>
    <x v="7"/>
    <s v="UPI"/>
    <x v="0"/>
    <n v="15"/>
    <d v="2026-01-09T00:00:00"/>
    <n v="499"/>
    <s v="East"/>
    <s v=""/>
  </r>
  <r>
    <x v="75"/>
    <n v="95"/>
    <x v="5"/>
    <s v="Merchant_013"/>
    <d v="2026-01-24T17:48:00"/>
    <x v="0"/>
    <s v="Netbanking"/>
    <x v="1"/>
    <n v="27"/>
    <d v="2026-01-24T00:00:00"/>
    <n v="0"/>
    <s v="East"/>
    <s v=""/>
  </r>
  <r>
    <x v="76"/>
    <n v="302"/>
    <x v="35"/>
    <s v="Merchant_034"/>
    <d v="2026-01-24T15:17:00"/>
    <x v="1"/>
    <s v="Netbanking"/>
    <x v="0"/>
    <n v="76"/>
    <d v="2026-01-24T00:00:00"/>
    <n v="548"/>
    <s v="South"/>
    <s v=""/>
  </r>
  <r>
    <x v="77"/>
    <n v="100"/>
    <x v="13"/>
    <s v="Merchant_019"/>
    <d v="2026-01-10T03:53:00"/>
    <x v="0"/>
    <s v="Netbanking"/>
    <x v="0"/>
    <n v="29"/>
    <d v="2026-01-10T00:00:00"/>
    <n v="2999"/>
    <s v="North"/>
    <s v=""/>
  </r>
  <r>
    <x v="78"/>
    <n v="8"/>
    <x v="7"/>
    <s v="Merchant_035"/>
    <d v="2026-01-12T05:19:00"/>
    <x v="3"/>
    <s v="UPI"/>
    <x v="0"/>
    <n v="16"/>
    <d v="2026-01-12T00:00:00"/>
    <n v="99"/>
    <s v="East"/>
    <s v=""/>
  </r>
  <r>
    <x v="79"/>
    <n v="284"/>
    <x v="13"/>
    <s v="Merchant_019"/>
    <d v="2026-01-09T01:03:00"/>
    <x v="3"/>
    <s v="UPI"/>
    <x v="0"/>
    <n v="89"/>
    <d v="2026-01-09T00:00:00"/>
    <n v="99"/>
    <s v="North"/>
    <s v=""/>
  </r>
  <r>
    <x v="80"/>
    <n v="252"/>
    <x v="23"/>
    <s v="Merchant_007"/>
    <d v="2026-01-05T20:55:00"/>
    <x v="0"/>
    <s v="Wallet"/>
    <x v="0"/>
    <n v="1"/>
    <d v="2026-01-05T00:00:00"/>
    <n v="4498"/>
    <s v="East"/>
    <s v=""/>
  </r>
  <r>
    <x v="81"/>
    <n v="246"/>
    <x v="26"/>
    <s v="Merchant_029"/>
    <d v="2026-01-19T09:30:00"/>
    <x v="1"/>
    <s v="Wallet"/>
    <x v="0"/>
    <n v="43"/>
    <d v="2026-01-19T00:00:00"/>
    <n v="49"/>
    <s v="North"/>
    <s v=""/>
  </r>
  <r>
    <x v="82"/>
    <n v="245"/>
    <x v="30"/>
    <s v="Merchant_008"/>
    <d v="2026-01-06T01:16:00"/>
    <x v="1"/>
    <s v="UPI"/>
    <x v="2"/>
    <n v="8"/>
    <d v="2026-01-06T00:00:00"/>
    <n v="0"/>
    <s v="North"/>
    <s v=""/>
  </r>
  <r>
    <x v="83"/>
    <n v="296"/>
    <x v="29"/>
    <s v="Merchant_004"/>
    <d v="2026-01-13T15:04:00"/>
    <x v="4"/>
    <s v="Wallet"/>
    <x v="0"/>
    <n v="19"/>
    <d v="2026-01-13T00:00:00"/>
    <n v="948"/>
    <s v="East"/>
    <s v=""/>
  </r>
  <r>
    <x v="84"/>
    <n v="44"/>
    <x v="0"/>
    <s v="Merchant_016"/>
    <d v="2026-01-05T18:19:00"/>
    <x v="8"/>
    <s v="UPI"/>
    <x v="0"/>
    <n v="15"/>
    <d v="2026-01-05T00:00:00"/>
    <n v="149"/>
    <s v="West"/>
    <s v=""/>
  </r>
  <r>
    <x v="85"/>
    <n v="306"/>
    <x v="12"/>
    <s v="Merchant_040"/>
    <d v="2026-01-18T13:38:00"/>
    <x v="4"/>
    <s v="Card"/>
    <x v="0"/>
    <n v="28"/>
    <d v="2026-01-18T00:00:00"/>
    <n v="799"/>
    <s v="South"/>
    <s v=""/>
  </r>
  <r>
    <x v="86"/>
    <n v="231"/>
    <x v="26"/>
    <s v="Merchant_029"/>
    <d v="2026-01-25T16:24:00"/>
    <x v="5"/>
    <s v="UPI"/>
    <x v="0"/>
    <n v="38"/>
    <d v="2026-01-25T00:00:00"/>
    <n v="299"/>
    <s v="North"/>
    <s v=""/>
  </r>
  <r>
    <x v="87"/>
    <n v="51"/>
    <x v="16"/>
    <s v="Merchant_014"/>
    <d v="2026-01-02T19:47:00"/>
    <x v="2"/>
    <s v="UPI"/>
    <x v="0"/>
    <n v="80"/>
    <d v="2026-01-02T00:00:00"/>
    <n v="1499"/>
    <s v="East"/>
    <s v=""/>
  </r>
  <r>
    <x v="88"/>
    <n v="42"/>
    <x v="2"/>
    <s v="Merchant_011"/>
    <d v="2026-01-07T08:42:00"/>
    <x v="1"/>
    <s v="Wallet"/>
    <x v="0"/>
    <n v="30"/>
    <d v="2026-01-07T00:00:00"/>
    <n v="49"/>
    <s v="North"/>
    <s v=""/>
  </r>
  <r>
    <x v="89"/>
    <n v="81"/>
    <x v="36"/>
    <s v="Merchant_001"/>
    <d v="2026-01-06T17:04:00"/>
    <x v="8"/>
    <s v="UPI"/>
    <x v="0"/>
    <n v="52"/>
    <d v="2026-01-06T00:00:00"/>
    <n v="149"/>
    <s v="South"/>
    <s v=""/>
  </r>
  <r>
    <x v="90"/>
    <n v="241"/>
    <x v="13"/>
    <s v="Merchant_019"/>
    <d v="2026-01-15T22:38:00"/>
    <x v="5"/>
    <s v="UPI"/>
    <x v="0"/>
    <n v="4"/>
    <d v="2026-01-15T00:00:00"/>
    <n v="299"/>
    <s v="North"/>
    <s v=""/>
  </r>
  <r>
    <x v="91"/>
    <n v="145"/>
    <x v="24"/>
    <s v="Merchant_030"/>
    <d v="2026-01-08T09:45:00"/>
    <x v="4"/>
    <s v="UPI"/>
    <x v="0"/>
    <n v="9"/>
    <d v="2026-01-08T00:00:00"/>
    <n v="1197"/>
    <s v="West"/>
    <s v=""/>
  </r>
  <r>
    <x v="92"/>
    <n v="136"/>
    <x v="34"/>
    <s v="Merchant_038"/>
    <d v="2026-01-22T07:59:00"/>
    <x v="5"/>
    <s v="Card"/>
    <x v="0"/>
    <n v="84"/>
    <d v="2026-01-22T00:00:00"/>
    <n v="299"/>
    <s v="East"/>
    <s v=""/>
  </r>
  <r>
    <x v="93"/>
    <n v="59"/>
    <x v="7"/>
    <s v="Merchant_035"/>
    <d v="2026-01-26T06:27:00"/>
    <x v="7"/>
    <s v="UPI"/>
    <x v="0"/>
    <n v="28"/>
    <d v="2026-01-26T00:00:00"/>
    <n v="499"/>
    <s v="East"/>
    <s v=""/>
  </r>
  <r>
    <x v="94"/>
    <n v="137"/>
    <x v="33"/>
    <s v="Merchant_010"/>
    <d v="2026-01-21T04:58:00"/>
    <x v="5"/>
    <s v="UPI"/>
    <x v="0"/>
    <n v="9"/>
    <d v="2026-01-21T00:00:00"/>
    <n v="398"/>
    <s v="West"/>
    <s v=""/>
  </r>
  <r>
    <x v="95"/>
    <n v="158"/>
    <x v="37"/>
    <s v="Merchant_039"/>
    <d v="2026-01-02T05:50:00"/>
    <x v="7"/>
    <s v="Netbanking"/>
    <x v="0"/>
    <n v="95"/>
    <d v="2026-01-02T00:00:00"/>
    <n v="499"/>
    <s v="North"/>
    <s v=""/>
  </r>
  <r>
    <x v="96"/>
    <n v="148"/>
    <x v="26"/>
    <s v="Merchant_029"/>
    <d v="2026-01-27T18:58:00"/>
    <x v="3"/>
    <s v="Card"/>
    <x v="0"/>
    <n v="15"/>
    <d v="2026-01-27T00:00:00"/>
    <n v="99"/>
    <s v="North"/>
    <s v=""/>
  </r>
  <r>
    <x v="97"/>
    <n v="207"/>
    <x v="6"/>
    <s v="Merchant_018"/>
    <d v="2026-01-15T22:19:00"/>
    <x v="8"/>
    <s v="UPI"/>
    <x v="0"/>
    <n v="64"/>
    <d v="2026-01-15T00:00:00"/>
    <n v="149"/>
    <s v="West"/>
    <s v=""/>
  </r>
  <r>
    <x v="98"/>
    <n v="42"/>
    <x v="37"/>
    <s v="Merchant_039"/>
    <d v="2026-01-18T15:28:00"/>
    <x v="0"/>
    <s v="Card"/>
    <x v="0"/>
    <n v="5"/>
    <d v="2026-01-18T00:00:00"/>
    <n v="2999"/>
    <s v="North"/>
    <s v=""/>
  </r>
  <r>
    <x v="99"/>
    <n v="166"/>
    <x v="37"/>
    <s v="Merchant_039"/>
    <d v="2026-01-29T13:47:00"/>
    <x v="8"/>
    <s v="UPI"/>
    <x v="0"/>
    <n v="32"/>
    <d v="2026-01-29T00:00:00"/>
    <n v="149"/>
    <s v="North"/>
    <s v=""/>
  </r>
  <r>
    <x v="100"/>
    <n v="346"/>
    <x v="21"/>
    <s v="Merchant_037"/>
    <d v="2026-01-01T02:14:00"/>
    <x v="3"/>
    <s v="UPI"/>
    <x v="0"/>
    <n v="75"/>
    <d v="2026-01-01T00:00:00"/>
    <n v="897"/>
    <s v="South"/>
    <s v=""/>
  </r>
  <r>
    <x v="101"/>
    <n v="138"/>
    <x v="21"/>
    <s v="Merchant_037"/>
    <d v="2026-01-01T21:52:00"/>
    <x v="7"/>
    <s v="UPI"/>
    <x v="0"/>
    <n v="5"/>
    <d v="2026-01-01T00:00:00"/>
    <n v="897"/>
    <s v="South"/>
    <s v=""/>
  </r>
  <r>
    <x v="102"/>
    <n v="266"/>
    <x v="26"/>
    <s v="Merchant_029"/>
    <d v="2026-01-25T05:30:00"/>
    <x v="7"/>
    <s v="Wallet"/>
    <x v="1"/>
    <n v="35"/>
    <d v="2026-01-25T00:00:00"/>
    <n v="299"/>
    <s v="North"/>
    <s v=""/>
  </r>
  <r>
    <x v="103"/>
    <n v="326"/>
    <x v="32"/>
    <s v="Merchant_032"/>
    <d v="2026-01-06T18:27:00"/>
    <x v="8"/>
    <s v="UPI"/>
    <x v="0"/>
    <n v="11"/>
    <d v="2026-01-06T00:00:00"/>
    <n v="149"/>
    <s v="West"/>
    <s v=""/>
  </r>
  <r>
    <x v="104"/>
    <n v="171"/>
    <x v="17"/>
    <s v="Merchant_021"/>
    <d v="2026-01-16T11:26:00"/>
    <x v="4"/>
    <s v="UPI"/>
    <x v="0"/>
    <n v="85"/>
    <d v="2026-01-16T00:00:00"/>
    <n v="799"/>
    <s v="East"/>
    <s v=""/>
  </r>
  <r>
    <x v="105"/>
    <n v="211"/>
    <x v="32"/>
    <s v="Merchant_032"/>
    <d v="2026-01-04T05:21:00"/>
    <x v="1"/>
    <s v="UPI"/>
    <x v="0"/>
    <n v="36"/>
    <d v="2026-01-04T00:00:00"/>
    <n v="49"/>
    <s v="West"/>
    <s v=""/>
  </r>
  <r>
    <x v="106"/>
    <n v="282"/>
    <x v="11"/>
    <s v="Merchant_003"/>
    <d v="2026-01-22T12:52:00"/>
    <x v="7"/>
    <s v="UPI"/>
    <x v="0"/>
    <n v="58"/>
    <d v="2026-01-22T00:00:00"/>
    <n v="499"/>
    <s v="East"/>
    <s v=""/>
  </r>
  <r>
    <x v="107"/>
    <n v="166"/>
    <x v="30"/>
    <s v="Merchant_008"/>
    <d v="2026-01-03T10:16:00"/>
    <x v="5"/>
    <s v="UPI"/>
    <x v="0"/>
    <n v="98"/>
    <d v="2026-01-03T00:00:00"/>
    <n v="299"/>
    <s v="North"/>
    <s v=""/>
  </r>
  <r>
    <x v="108"/>
    <n v="1"/>
    <x v="7"/>
    <s v="Merchant_035"/>
    <d v="2026-01-13T16:52:00"/>
    <x v="8"/>
    <s v="UPI"/>
    <x v="0"/>
    <n v="59"/>
    <d v="2026-01-13T00:00:00"/>
    <n v="149"/>
    <s v="East"/>
    <s v=""/>
  </r>
  <r>
    <x v="109"/>
    <n v="266"/>
    <x v="38"/>
    <s v="Merchant_024"/>
    <d v="2026-01-14T01:12:00"/>
    <x v="7"/>
    <s v="UPI"/>
    <x v="0"/>
    <n v="79"/>
    <d v="2026-01-14T00:00:00"/>
    <n v="499"/>
    <s v="North"/>
    <s v=""/>
  </r>
  <r>
    <x v="110"/>
    <n v="227"/>
    <x v="29"/>
    <s v="Merchant_004"/>
    <d v="2026-01-25T15:40:00"/>
    <x v="7"/>
    <s v="UPI"/>
    <x v="0"/>
    <n v="26"/>
    <d v="2026-01-25T00:00:00"/>
    <n v="1998"/>
    <s v="East"/>
    <s v=""/>
  </r>
  <r>
    <x v="111"/>
    <n v="148"/>
    <x v="26"/>
    <s v="Merchant_029"/>
    <d v="2026-01-09T17:08:00"/>
    <x v="7"/>
    <s v="UPI"/>
    <x v="0"/>
    <n v="89"/>
    <d v="2026-01-09T00:00:00"/>
    <n v="499"/>
    <s v="North"/>
    <s v=""/>
  </r>
  <r>
    <x v="112"/>
    <n v="323"/>
    <x v="37"/>
    <s v="Merchant_039"/>
    <d v="2026-01-16T03:01:00"/>
    <x v="7"/>
    <s v="UPI"/>
    <x v="0"/>
    <n v="30"/>
    <d v="2026-01-16T00:00:00"/>
    <n v="499"/>
    <s v="North"/>
    <s v=""/>
  </r>
  <r>
    <x v="113"/>
    <n v="283"/>
    <x v="36"/>
    <s v="Merchant_001"/>
    <d v="2026-01-23T05:19:00"/>
    <x v="0"/>
    <s v="Wallet"/>
    <x v="0"/>
    <n v="70"/>
    <d v="2026-01-23T00:00:00"/>
    <n v="3148"/>
    <s v="South"/>
    <s v=""/>
  </r>
  <r>
    <x v="114"/>
    <n v="59"/>
    <x v="24"/>
    <s v="Merchant_030"/>
    <d v="2026-01-14T02:14:00"/>
    <x v="7"/>
    <s v="UPI"/>
    <x v="0"/>
    <n v="15"/>
    <d v="2026-01-14T00:00:00"/>
    <n v="2497"/>
    <s v="West"/>
    <s v=""/>
  </r>
  <r>
    <x v="115"/>
    <n v="150"/>
    <x v="10"/>
    <s v="Merchant_033"/>
    <d v="2026-01-21T04:31:00"/>
    <x v="0"/>
    <s v="UPI"/>
    <x v="0"/>
    <n v="90"/>
    <d v="2026-01-21T00:00:00"/>
    <n v="3298"/>
    <s v="East"/>
    <s v=""/>
  </r>
  <r>
    <x v="116"/>
    <n v="248"/>
    <x v="20"/>
    <s v="Merchant_031"/>
    <d v="2026-01-09T13:53:00"/>
    <x v="2"/>
    <s v="UPI"/>
    <x v="1"/>
    <n v="31"/>
    <d v="2026-01-09T00:00:00"/>
    <n v="0"/>
    <s v="East"/>
    <s v=""/>
  </r>
  <r>
    <x v="117"/>
    <n v="197"/>
    <x v="5"/>
    <s v="Merchant_013"/>
    <d v="2026-01-15T17:09:00"/>
    <x v="1"/>
    <s v="UPI"/>
    <x v="0"/>
    <n v="76"/>
    <d v="2026-01-15T00:00:00"/>
    <n v="49"/>
    <s v="East"/>
    <s v=""/>
  </r>
  <r>
    <x v="118"/>
    <n v="70"/>
    <x v="31"/>
    <s v="Merchant_005"/>
    <d v="2026-01-17T23:56:00"/>
    <x v="7"/>
    <s v="UPI"/>
    <x v="0"/>
    <n v="35"/>
    <d v="2026-01-17T00:00:00"/>
    <n v="499"/>
    <s v="South"/>
    <s v=""/>
  </r>
  <r>
    <x v="119"/>
    <n v="260"/>
    <x v="6"/>
    <s v="Merchant_018"/>
    <d v="2026-01-25T13:21:00"/>
    <x v="2"/>
    <s v="UPI"/>
    <x v="0"/>
    <n v="0"/>
    <d v="2026-01-25T00:00:00"/>
    <n v="6647"/>
    <s v="West"/>
    <s v="High-Value Merchant Day"/>
  </r>
  <r>
    <x v="120"/>
    <n v="301"/>
    <x v="34"/>
    <s v="Merchant_038"/>
    <d v="2026-01-10T23:19:00"/>
    <x v="3"/>
    <s v="UPI"/>
    <x v="0"/>
    <n v="84"/>
    <d v="2026-01-10T00:00:00"/>
    <n v="398"/>
    <s v="East"/>
    <s v=""/>
  </r>
  <r>
    <x v="121"/>
    <n v="276"/>
    <x v="20"/>
    <s v="Merchant_031"/>
    <d v="2026-01-16T04:28:00"/>
    <x v="7"/>
    <s v="Card"/>
    <x v="0"/>
    <n v="44"/>
    <d v="2026-01-16T00:00:00"/>
    <n v="499"/>
    <s v="East"/>
    <s v=""/>
  </r>
  <r>
    <x v="122"/>
    <n v="279"/>
    <x v="14"/>
    <s v="Merchant_025"/>
    <d v="2026-01-11T17:48:00"/>
    <x v="4"/>
    <s v="UPI"/>
    <x v="0"/>
    <n v="58"/>
    <d v="2026-01-11T00:00:00"/>
    <n v="799"/>
    <s v="South"/>
    <s v=""/>
  </r>
  <r>
    <x v="123"/>
    <n v="97"/>
    <x v="0"/>
    <s v="Merchant_016"/>
    <d v="2026-01-30T10:55:00"/>
    <x v="4"/>
    <s v="Card"/>
    <x v="0"/>
    <n v="73"/>
    <d v="2026-01-30T00:00:00"/>
    <n v="898"/>
    <s v="West"/>
    <s v=""/>
  </r>
  <r>
    <x v="124"/>
    <n v="196"/>
    <x v="14"/>
    <s v="Merchant_025"/>
    <d v="2026-01-24T15:45:00"/>
    <x v="8"/>
    <s v="Netbanking"/>
    <x v="0"/>
    <n v="84"/>
    <d v="2026-01-24T00:00:00"/>
    <n v="497"/>
    <s v="South"/>
    <s v=""/>
  </r>
  <r>
    <x v="125"/>
    <n v="254"/>
    <x v="11"/>
    <s v="Merchant_003"/>
    <d v="2026-01-26T20:09:00"/>
    <x v="8"/>
    <s v="Card"/>
    <x v="0"/>
    <n v="16"/>
    <d v="2026-01-26T00:00:00"/>
    <n v="149"/>
    <s v="East"/>
    <s v=""/>
  </r>
  <r>
    <x v="126"/>
    <n v="52"/>
    <x v="26"/>
    <s v="Merchant_029"/>
    <d v="2026-01-17T18:21:00"/>
    <x v="1"/>
    <s v="Netbanking"/>
    <x v="0"/>
    <n v="12"/>
    <d v="2026-01-17T00:00:00"/>
    <n v="49"/>
    <s v="North"/>
    <s v=""/>
  </r>
  <r>
    <x v="127"/>
    <n v="136"/>
    <x v="3"/>
    <s v="Merchant_022"/>
    <d v="2026-01-05T02:30:00"/>
    <x v="8"/>
    <s v="UPI"/>
    <x v="0"/>
    <n v="79"/>
    <d v="2026-01-05T00:00:00"/>
    <n v="448"/>
    <s v="South"/>
    <s v=""/>
  </r>
  <r>
    <x v="128"/>
    <n v="42"/>
    <x v="3"/>
    <s v="Merchant_022"/>
    <d v="2026-01-23T12:41:00"/>
    <x v="1"/>
    <s v="UPI"/>
    <x v="0"/>
    <n v="86"/>
    <d v="2026-01-23T00:00:00"/>
    <n v="49"/>
    <s v="South"/>
    <s v=""/>
  </r>
  <r>
    <x v="129"/>
    <n v="163"/>
    <x v="32"/>
    <s v="Merchant_032"/>
    <d v="2026-01-28T17:24:00"/>
    <x v="0"/>
    <s v="Wallet"/>
    <x v="1"/>
    <n v="69"/>
    <d v="2026-01-28T00:00:00"/>
    <n v="0"/>
    <s v="West"/>
    <s v=""/>
  </r>
  <r>
    <x v="130"/>
    <n v="121"/>
    <x v="13"/>
    <s v="Merchant_019"/>
    <d v="2026-01-02T19:04:00"/>
    <x v="8"/>
    <s v="UPI"/>
    <x v="0"/>
    <n v="29"/>
    <d v="2026-01-02T00:00:00"/>
    <n v="149"/>
    <s v="North"/>
    <s v=""/>
  </r>
  <r>
    <x v="131"/>
    <n v="51"/>
    <x v="23"/>
    <s v="Merchant_007"/>
    <d v="2026-01-24T02:27:00"/>
    <x v="7"/>
    <s v="Card"/>
    <x v="0"/>
    <n v="56"/>
    <d v="2026-01-24T00:00:00"/>
    <n v="1298"/>
    <s v="East"/>
    <s v=""/>
  </r>
  <r>
    <x v="132"/>
    <n v="15"/>
    <x v="11"/>
    <s v="Merchant_003"/>
    <d v="2026-01-06T22:19:00"/>
    <x v="4"/>
    <s v="UPI"/>
    <x v="0"/>
    <n v="41"/>
    <d v="2026-01-06T00:00:00"/>
    <n v="799"/>
    <s v="East"/>
    <s v=""/>
  </r>
  <r>
    <x v="133"/>
    <n v="184"/>
    <x v="38"/>
    <s v="Merchant_024"/>
    <d v="2026-01-26T01:18:00"/>
    <x v="1"/>
    <s v="UPI"/>
    <x v="0"/>
    <n v="55"/>
    <d v="2026-01-26T00:00:00"/>
    <n v="348"/>
    <s v="North"/>
    <s v=""/>
  </r>
  <r>
    <x v="134"/>
    <n v="211"/>
    <x v="21"/>
    <s v="Merchant_037"/>
    <d v="2026-01-05T07:33:00"/>
    <x v="2"/>
    <s v="UPI"/>
    <x v="0"/>
    <n v="87"/>
    <d v="2026-01-05T00:00:00"/>
    <n v="1499"/>
    <s v="South"/>
    <s v=""/>
  </r>
  <r>
    <x v="135"/>
    <n v="90"/>
    <x v="18"/>
    <s v="Merchant_006"/>
    <d v="2026-01-26T05:10:00"/>
    <x v="1"/>
    <s v="Card"/>
    <x v="0"/>
    <n v="78"/>
    <d v="2026-01-26T00:00:00"/>
    <n v="49"/>
    <s v="South"/>
    <s v=""/>
  </r>
  <r>
    <x v="136"/>
    <n v="350"/>
    <x v="0"/>
    <s v="Merchant_016"/>
    <d v="2026-01-28T12:39:00"/>
    <x v="1"/>
    <s v="UPI"/>
    <x v="0"/>
    <n v="63"/>
    <d v="2026-01-28T00:00:00"/>
    <n v="49"/>
    <s v="West"/>
    <s v=""/>
  </r>
  <r>
    <x v="137"/>
    <n v="119"/>
    <x v="24"/>
    <s v="Merchant_030"/>
    <d v="2026-01-30T18:09:00"/>
    <x v="1"/>
    <s v="Card"/>
    <x v="0"/>
    <n v="81"/>
    <d v="2026-01-30T00:00:00"/>
    <n v="49"/>
    <s v="West"/>
    <s v=""/>
  </r>
  <r>
    <x v="138"/>
    <n v="342"/>
    <x v="36"/>
    <s v="Merchant_001"/>
    <d v="2026-01-09T14:16:00"/>
    <x v="1"/>
    <s v="UPI"/>
    <x v="0"/>
    <n v="59"/>
    <d v="2026-01-09T00:00:00"/>
    <n v="5048"/>
    <s v="South"/>
    <s v="High-Value Merchant Day"/>
  </r>
  <r>
    <x v="139"/>
    <n v="280"/>
    <x v="2"/>
    <s v="Merchant_011"/>
    <d v="2026-01-29T09:43:00"/>
    <x v="8"/>
    <s v="UPI"/>
    <x v="2"/>
    <n v="9"/>
    <d v="2026-01-29T00:00:00"/>
    <n v="0"/>
    <s v="North"/>
    <s v=""/>
  </r>
  <r>
    <x v="140"/>
    <n v="154"/>
    <x v="9"/>
    <s v="Merchant_028"/>
    <d v="2026-01-15T11:37:00"/>
    <x v="0"/>
    <s v="Netbanking"/>
    <x v="0"/>
    <n v="88"/>
    <d v="2026-01-15T00:00:00"/>
    <n v="2999"/>
    <s v="South"/>
    <s v=""/>
  </r>
  <r>
    <x v="141"/>
    <n v="155"/>
    <x v="5"/>
    <s v="Merchant_013"/>
    <d v="2026-01-09T14:54:00"/>
    <x v="8"/>
    <s v="UPI"/>
    <x v="0"/>
    <n v="49"/>
    <d v="2026-01-09T00:00:00"/>
    <n v="198"/>
    <s v="East"/>
    <s v=""/>
  </r>
  <r>
    <x v="142"/>
    <n v="122"/>
    <x v="14"/>
    <s v="Merchant_025"/>
    <d v="2026-01-28T15:06:00"/>
    <x v="5"/>
    <s v="UPI"/>
    <x v="0"/>
    <n v="73"/>
    <d v="2026-01-28T00:00:00"/>
    <n v="299"/>
    <s v="South"/>
    <s v=""/>
  </r>
  <r>
    <x v="143"/>
    <n v="152"/>
    <x v="27"/>
    <s v="Merchant_002"/>
    <d v="2026-01-12T18:18:00"/>
    <x v="1"/>
    <s v="UPI"/>
    <x v="0"/>
    <n v="84"/>
    <d v="2026-01-12T00:00:00"/>
    <n v="348"/>
    <s v="West"/>
    <s v=""/>
  </r>
  <r>
    <x v="144"/>
    <n v="290"/>
    <x v="29"/>
    <s v="Merchant_004"/>
    <d v="2026-01-13T08:00:00"/>
    <x v="8"/>
    <s v="UPI"/>
    <x v="0"/>
    <n v="77"/>
    <d v="2026-01-13T00:00:00"/>
    <n v="948"/>
    <s v="East"/>
    <s v=""/>
  </r>
  <r>
    <x v="145"/>
    <n v="147"/>
    <x v="19"/>
    <s v="Merchant_015"/>
    <d v="2026-01-24T15:53:00"/>
    <x v="1"/>
    <s v="Wallet"/>
    <x v="0"/>
    <n v="77"/>
    <d v="2026-01-24T00:00:00"/>
    <n v="49"/>
    <s v="North"/>
    <s v=""/>
  </r>
  <r>
    <x v="146"/>
    <n v="326"/>
    <x v="5"/>
    <s v="Merchant_013"/>
    <d v="2026-01-26T11:14:00"/>
    <x v="5"/>
    <s v="Netbanking"/>
    <x v="0"/>
    <n v="79"/>
    <d v="2026-01-26T00:00:00"/>
    <n v="299"/>
    <s v="East"/>
    <s v=""/>
  </r>
  <r>
    <x v="147"/>
    <n v="338"/>
    <x v="39"/>
    <s v="Merchant_009"/>
    <d v="2026-01-09T21:48:00"/>
    <x v="3"/>
    <s v="Card"/>
    <x v="0"/>
    <n v="80"/>
    <d v="2026-01-09T00:00:00"/>
    <n v="99"/>
    <s v="North"/>
    <s v=""/>
  </r>
  <r>
    <x v="148"/>
    <n v="21"/>
    <x v="15"/>
    <s v="Merchant_020"/>
    <d v="2026-01-04T20:41:00"/>
    <x v="0"/>
    <s v="UPI"/>
    <x v="0"/>
    <n v="100"/>
    <d v="2026-01-04T00:00:00"/>
    <n v="2999"/>
    <s v="East"/>
    <s v=""/>
  </r>
  <r>
    <x v="149"/>
    <n v="187"/>
    <x v="39"/>
    <s v="Merchant_009"/>
    <d v="2026-01-15T01:37:00"/>
    <x v="1"/>
    <s v="Card"/>
    <x v="1"/>
    <n v="11"/>
    <d v="2026-01-15T00:00:00"/>
    <n v="0"/>
    <s v="North"/>
    <s v=""/>
  </r>
  <r>
    <x v="150"/>
    <n v="213"/>
    <x v="8"/>
    <s v="Merchant_012"/>
    <d v="2026-01-30T09:20:00"/>
    <x v="10"/>
    <s v="UPI"/>
    <x v="0"/>
    <n v="25"/>
    <d v="2026-01-30T00:00:00"/>
    <n v="4999"/>
    <s v="East"/>
    <s v=""/>
  </r>
  <r>
    <x v="151"/>
    <n v="188"/>
    <x v="35"/>
    <s v="Merchant_034"/>
    <d v="2026-01-05T17:56:00"/>
    <x v="0"/>
    <s v="UPI"/>
    <x v="0"/>
    <n v="64"/>
    <d v="2026-01-05T00:00:00"/>
    <n v="2999"/>
    <s v="South"/>
    <s v=""/>
  </r>
  <r>
    <x v="152"/>
    <n v="85"/>
    <x v="28"/>
    <s v="Merchant_017"/>
    <d v="2026-01-30T08:53:00"/>
    <x v="7"/>
    <s v="UPI"/>
    <x v="0"/>
    <n v="61"/>
    <d v="2026-01-30T00:00:00"/>
    <n v="499"/>
    <s v="North"/>
    <s v=""/>
  </r>
  <r>
    <x v="153"/>
    <n v="174"/>
    <x v="30"/>
    <s v="Merchant_008"/>
    <d v="2026-01-26T09:47:00"/>
    <x v="5"/>
    <s v="Netbanking"/>
    <x v="0"/>
    <n v="59"/>
    <d v="2026-01-26T00:00:00"/>
    <n v="598"/>
    <s v="North"/>
    <s v=""/>
  </r>
  <r>
    <x v="154"/>
    <n v="116"/>
    <x v="22"/>
    <s v="Merchant_026"/>
    <d v="2026-01-03T04:48:00"/>
    <x v="3"/>
    <s v="Netbanking"/>
    <x v="0"/>
    <n v="71"/>
    <d v="2026-01-03T00:00:00"/>
    <n v="99"/>
    <s v="East"/>
    <s v=""/>
  </r>
  <r>
    <x v="155"/>
    <n v="203"/>
    <x v="36"/>
    <s v="Merchant_001"/>
    <d v="2026-01-12T02:50:00"/>
    <x v="8"/>
    <s v="Wallet"/>
    <x v="0"/>
    <n v="33"/>
    <d v="2026-01-12T00:00:00"/>
    <n v="149"/>
    <s v="South"/>
    <s v=""/>
  </r>
  <r>
    <x v="156"/>
    <n v="189"/>
    <x v="28"/>
    <s v="Merchant_017"/>
    <d v="2026-01-18T03:29:00"/>
    <x v="3"/>
    <s v="UPI"/>
    <x v="0"/>
    <n v="74"/>
    <d v="2026-01-18T00:00:00"/>
    <n v="198"/>
    <s v="North"/>
    <s v=""/>
  </r>
  <r>
    <x v="157"/>
    <n v="56"/>
    <x v="19"/>
    <s v="Merchant_015"/>
    <d v="2026-01-13T20:23:00"/>
    <x v="5"/>
    <s v="UPI"/>
    <x v="0"/>
    <n v="60"/>
    <d v="2026-01-13T00:00:00"/>
    <n v="299"/>
    <s v="North"/>
    <s v=""/>
  </r>
  <r>
    <x v="158"/>
    <n v="288"/>
    <x v="17"/>
    <s v="Merchant_021"/>
    <d v="2026-01-01T19:56:00"/>
    <x v="10"/>
    <s v="Wallet"/>
    <x v="1"/>
    <n v="78"/>
    <d v="2026-01-01T00:00:00"/>
    <n v="299"/>
    <s v="East"/>
    <s v=""/>
  </r>
  <r>
    <x v="159"/>
    <n v="326"/>
    <x v="24"/>
    <s v="Merchant_030"/>
    <d v="2026-01-08T20:04:00"/>
    <x v="3"/>
    <s v="Card"/>
    <x v="0"/>
    <n v="89"/>
    <d v="2026-01-08T00:00:00"/>
    <n v="1197"/>
    <s v="West"/>
    <s v=""/>
  </r>
  <r>
    <x v="160"/>
    <n v="60"/>
    <x v="39"/>
    <s v="Merchant_009"/>
    <d v="2026-01-10T20:26:00"/>
    <x v="1"/>
    <s v="Netbanking"/>
    <x v="0"/>
    <n v="5"/>
    <d v="2026-01-10T00:00:00"/>
    <n v="49"/>
    <s v="North"/>
    <s v=""/>
  </r>
  <r>
    <x v="161"/>
    <n v="60"/>
    <x v="23"/>
    <s v="Merchant_007"/>
    <d v="2026-01-02T09:31:00"/>
    <x v="0"/>
    <s v="Wallet"/>
    <x v="0"/>
    <n v="30"/>
    <d v="2026-01-02T00:00:00"/>
    <n v="2999"/>
    <s v="East"/>
    <s v=""/>
  </r>
  <r>
    <x v="162"/>
    <n v="199"/>
    <x v="24"/>
    <s v="Merchant_030"/>
    <d v="2026-01-29T17:08:00"/>
    <x v="8"/>
    <s v="Netbanking"/>
    <x v="0"/>
    <n v="47"/>
    <d v="2026-01-29T00:00:00"/>
    <n v="149"/>
    <s v="West"/>
    <s v=""/>
  </r>
  <r>
    <x v="163"/>
    <n v="277"/>
    <x v="1"/>
    <s v="Merchant_027"/>
    <d v="2026-01-22T23:44:00"/>
    <x v="1"/>
    <s v="UPI"/>
    <x v="0"/>
    <n v="75"/>
    <d v="2026-01-22T00:00:00"/>
    <n v="49"/>
    <s v="North"/>
    <s v=""/>
  </r>
  <r>
    <x v="164"/>
    <n v="213"/>
    <x v="23"/>
    <s v="Merchant_007"/>
    <d v="2026-01-24T23:09:00"/>
    <x v="4"/>
    <s v="Netbanking"/>
    <x v="0"/>
    <n v="62"/>
    <d v="2026-01-24T00:00:00"/>
    <n v="1298"/>
    <s v="East"/>
    <s v=""/>
  </r>
  <r>
    <x v="165"/>
    <n v="17"/>
    <x v="38"/>
    <s v="Merchant_024"/>
    <d v="2026-01-20T13:17:00"/>
    <x v="5"/>
    <s v="UPI"/>
    <x v="0"/>
    <n v="27"/>
    <d v="2026-01-20T00:00:00"/>
    <n v="299"/>
    <s v="North"/>
    <s v=""/>
  </r>
  <r>
    <x v="166"/>
    <n v="186"/>
    <x v="23"/>
    <s v="Merchant_007"/>
    <d v="2026-01-15T14:15:00"/>
    <x v="2"/>
    <s v="Card"/>
    <x v="1"/>
    <n v="87"/>
    <d v="2026-01-15T00:00:00"/>
    <n v="149"/>
    <s v="East"/>
    <s v=""/>
  </r>
  <r>
    <x v="167"/>
    <n v="331"/>
    <x v="4"/>
    <s v="Merchant_023"/>
    <d v="2026-01-12T17:57:00"/>
    <x v="8"/>
    <s v="UPI"/>
    <x v="0"/>
    <n v="7"/>
    <d v="2026-01-12T00:00:00"/>
    <n v="149"/>
    <s v="North"/>
    <s v=""/>
  </r>
  <r>
    <x v="168"/>
    <n v="63"/>
    <x v="24"/>
    <s v="Merchant_030"/>
    <d v="2026-01-13T08:12:00"/>
    <x v="2"/>
    <s v="Card"/>
    <x v="0"/>
    <n v="11"/>
    <d v="2026-01-13T00:00:00"/>
    <n v="1499"/>
    <s v="West"/>
    <s v=""/>
  </r>
  <r>
    <x v="169"/>
    <n v="328"/>
    <x v="37"/>
    <s v="Merchant_039"/>
    <d v="2026-01-22T06:41:00"/>
    <x v="10"/>
    <s v="Wallet"/>
    <x v="2"/>
    <n v="2"/>
    <d v="2026-01-22T00:00:00"/>
    <n v="799"/>
    <s v="North"/>
    <s v=""/>
  </r>
  <r>
    <x v="170"/>
    <n v="65"/>
    <x v="21"/>
    <s v="Merchant_037"/>
    <d v="2026-01-02T10:15:00"/>
    <x v="0"/>
    <s v="Card"/>
    <x v="0"/>
    <n v="26"/>
    <d v="2026-01-02T00:00:00"/>
    <n v="2999"/>
    <s v="South"/>
    <s v=""/>
  </r>
  <r>
    <x v="171"/>
    <n v="301"/>
    <x v="16"/>
    <s v="Merchant_014"/>
    <d v="2026-01-03T17:13:00"/>
    <x v="8"/>
    <s v="UPI"/>
    <x v="0"/>
    <n v="29"/>
    <d v="2026-01-03T00:00:00"/>
    <n v="149"/>
    <s v="East"/>
    <s v=""/>
  </r>
  <r>
    <x v="172"/>
    <n v="306"/>
    <x v="36"/>
    <s v="Merchant_001"/>
    <d v="2026-01-11T04:50:00"/>
    <x v="5"/>
    <s v="UPI"/>
    <x v="1"/>
    <n v="35"/>
    <d v="2026-01-11T00:00:00"/>
    <n v="0"/>
    <s v="South"/>
    <s v=""/>
  </r>
  <r>
    <x v="173"/>
    <n v="277"/>
    <x v="28"/>
    <s v="Merchant_017"/>
    <d v="2026-01-28T04:08:00"/>
    <x v="5"/>
    <s v="UPI"/>
    <x v="0"/>
    <n v="22"/>
    <d v="2026-01-28T00:00:00"/>
    <n v="299"/>
    <s v="North"/>
    <s v=""/>
  </r>
  <r>
    <x v="174"/>
    <n v="14"/>
    <x v="39"/>
    <s v="Merchant_009"/>
    <d v="2026-01-04T21:55:00"/>
    <x v="7"/>
    <s v="UPI"/>
    <x v="0"/>
    <n v="1"/>
    <d v="2026-01-04T00:00:00"/>
    <n v="499"/>
    <s v="North"/>
    <s v=""/>
  </r>
  <r>
    <x v="175"/>
    <n v="166"/>
    <x v="27"/>
    <s v="Merchant_002"/>
    <d v="2026-01-12T07:37:00"/>
    <x v="5"/>
    <s v="Card"/>
    <x v="0"/>
    <n v="22"/>
    <d v="2026-01-12T00:00:00"/>
    <n v="348"/>
    <s v="West"/>
    <s v=""/>
  </r>
  <r>
    <x v="176"/>
    <n v="216"/>
    <x v="35"/>
    <s v="Merchant_034"/>
    <d v="2026-01-09T01:08:00"/>
    <x v="5"/>
    <s v="Card"/>
    <x v="0"/>
    <n v="14"/>
    <d v="2026-01-09T00:00:00"/>
    <n v="299"/>
    <s v="South"/>
    <s v=""/>
  </r>
  <r>
    <x v="177"/>
    <n v="230"/>
    <x v="38"/>
    <s v="Merchant_024"/>
    <d v="2026-01-24T02:30:00"/>
    <x v="1"/>
    <s v="UPI"/>
    <x v="0"/>
    <n v="65"/>
    <d v="2026-01-24T00:00:00"/>
    <n v="148"/>
    <s v="North"/>
    <s v=""/>
  </r>
  <r>
    <x v="178"/>
    <n v="258"/>
    <x v="19"/>
    <s v="Merchant_015"/>
    <d v="2026-01-19T03:28:00"/>
    <x v="7"/>
    <s v="Wallet"/>
    <x v="0"/>
    <n v="78"/>
    <d v="2026-01-19T00:00:00"/>
    <n v="499"/>
    <s v="North"/>
    <s v=""/>
  </r>
  <r>
    <x v="179"/>
    <n v="338"/>
    <x v="35"/>
    <s v="Merchant_034"/>
    <d v="2026-01-02T23:50:00"/>
    <x v="1"/>
    <s v="UPI"/>
    <x v="0"/>
    <n v="38"/>
    <d v="2026-01-02T00:00:00"/>
    <n v="548"/>
    <s v="South"/>
    <s v=""/>
  </r>
  <r>
    <x v="180"/>
    <n v="252"/>
    <x v="26"/>
    <s v="Merchant_029"/>
    <d v="2026-01-14T21:06:00"/>
    <x v="2"/>
    <s v="UPI"/>
    <x v="0"/>
    <n v="9"/>
    <d v="2026-01-14T00:00:00"/>
    <n v="1998"/>
    <s v="North"/>
    <s v=""/>
  </r>
  <r>
    <x v="181"/>
    <n v="312"/>
    <x v="33"/>
    <s v="Merchant_010"/>
    <d v="2026-01-29T02:20:00"/>
    <x v="4"/>
    <s v="UPI"/>
    <x v="0"/>
    <n v="8"/>
    <d v="2026-01-29T00:00:00"/>
    <n v="799"/>
    <s v="West"/>
    <s v=""/>
  </r>
  <r>
    <x v="182"/>
    <n v="325"/>
    <x v="34"/>
    <s v="Merchant_038"/>
    <d v="2026-01-05T08:39:00"/>
    <x v="2"/>
    <s v="Netbanking"/>
    <x v="0"/>
    <n v="70"/>
    <d v="2026-01-05T00:00:00"/>
    <n v="1499"/>
    <s v="East"/>
    <s v=""/>
  </r>
  <r>
    <x v="183"/>
    <n v="306"/>
    <x v="35"/>
    <s v="Merchant_034"/>
    <d v="2026-01-23T10:24:00"/>
    <x v="0"/>
    <s v="UPI"/>
    <x v="0"/>
    <n v="37"/>
    <d v="2026-01-23T00:00:00"/>
    <n v="3148"/>
    <s v="South"/>
    <s v=""/>
  </r>
  <r>
    <x v="184"/>
    <n v="221"/>
    <x v="23"/>
    <s v="Merchant_007"/>
    <d v="2026-01-15T16:38:00"/>
    <x v="8"/>
    <s v="Netbanking"/>
    <x v="0"/>
    <n v="89"/>
    <d v="2026-01-15T00:00:00"/>
    <n v="149"/>
    <s v="East"/>
    <s v=""/>
  </r>
  <r>
    <x v="185"/>
    <n v="283"/>
    <x v="16"/>
    <s v="Merchant_014"/>
    <d v="2026-01-04T20:41:00"/>
    <x v="3"/>
    <s v="Wallet"/>
    <x v="0"/>
    <n v="55"/>
    <d v="2026-01-04T00:00:00"/>
    <n v="99"/>
    <s v="East"/>
    <s v=""/>
  </r>
  <r>
    <x v="186"/>
    <n v="174"/>
    <x v="24"/>
    <s v="Merchant_030"/>
    <d v="2026-01-15T07:26:00"/>
    <x v="1"/>
    <s v="UPI"/>
    <x v="0"/>
    <n v="51"/>
    <d v="2026-01-15T00:00:00"/>
    <n v="49"/>
    <s v="West"/>
    <s v=""/>
  </r>
  <r>
    <x v="187"/>
    <n v="161"/>
    <x v="9"/>
    <s v="Merchant_028"/>
    <d v="2026-01-14T23:06:00"/>
    <x v="1"/>
    <s v="UPI"/>
    <x v="0"/>
    <n v="40"/>
    <d v="2026-01-14T00:00:00"/>
    <n v="49"/>
    <s v="South"/>
    <s v=""/>
  </r>
  <r>
    <x v="188"/>
    <n v="79"/>
    <x v="20"/>
    <s v="Merchant_031"/>
    <d v="2026-01-22T08:23:00"/>
    <x v="3"/>
    <s v="UPI"/>
    <x v="0"/>
    <n v="8"/>
    <d v="2026-01-22T00:00:00"/>
    <n v="99"/>
    <s v="East"/>
    <s v=""/>
  </r>
  <r>
    <x v="189"/>
    <n v="222"/>
    <x v="23"/>
    <s v="Merchant_007"/>
    <d v="2026-01-03T02:05:00"/>
    <x v="8"/>
    <s v="Wallet"/>
    <x v="0"/>
    <n v="95"/>
    <d v="2026-01-03T00:00:00"/>
    <n v="149"/>
    <s v="East"/>
    <s v=""/>
  </r>
  <r>
    <x v="190"/>
    <n v="67"/>
    <x v="25"/>
    <s v="Merchant_036"/>
    <d v="2026-01-24T11:51:00"/>
    <x v="3"/>
    <s v="UPI"/>
    <x v="0"/>
    <n v="7"/>
    <d v="2026-01-24T00:00:00"/>
    <n v="1647"/>
    <s v="East"/>
    <s v=""/>
  </r>
  <r>
    <x v="191"/>
    <n v="169"/>
    <x v="30"/>
    <s v="Merchant_008"/>
    <d v="2026-01-19T17:35:00"/>
    <x v="3"/>
    <s v="UPI"/>
    <x v="0"/>
    <n v="52"/>
    <d v="2026-01-19T00:00:00"/>
    <n v="99"/>
    <s v="North"/>
    <s v=""/>
  </r>
  <r>
    <x v="192"/>
    <n v="217"/>
    <x v="29"/>
    <s v="Merchant_004"/>
    <d v="2026-01-12T21:48:00"/>
    <x v="1"/>
    <s v="UPI"/>
    <x v="0"/>
    <n v="36"/>
    <d v="2026-01-12T00:00:00"/>
    <n v="49"/>
    <s v="East"/>
    <s v=""/>
  </r>
  <r>
    <x v="193"/>
    <n v="54"/>
    <x v="21"/>
    <s v="Merchant_037"/>
    <d v="2026-01-20T09:22:00"/>
    <x v="8"/>
    <s v="UPI"/>
    <x v="0"/>
    <n v="64"/>
    <d v="2026-01-20T00:00:00"/>
    <n v="149"/>
    <s v="South"/>
    <s v=""/>
  </r>
  <r>
    <x v="194"/>
    <n v="247"/>
    <x v="19"/>
    <s v="Merchant_015"/>
    <d v="2026-01-07T04:42:00"/>
    <x v="1"/>
    <s v="Card"/>
    <x v="0"/>
    <n v="13"/>
    <d v="2026-01-07T00:00:00"/>
    <n v="49"/>
    <s v="North"/>
    <s v=""/>
  </r>
  <r>
    <x v="195"/>
    <n v="59"/>
    <x v="6"/>
    <s v="Merchant_018"/>
    <d v="2026-01-12T17:23:00"/>
    <x v="11"/>
    <s v="Card"/>
    <x v="0"/>
    <n v="73"/>
    <d v="2026-01-12T00:00:00"/>
    <n v="-51"/>
    <s v="West"/>
    <s v=""/>
  </r>
  <r>
    <x v="196"/>
    <n v="288"/>
    <x v="12"/>
    <s v="Merchant_040"/>
    <d v="2026-01-08T13:54:00"/>
    <x v="1"/>
    <s v="UPI"/>
    <x v="1"/>
    <n v="78"/>
    <d v="2026-01-08T00:00:00"/>
    <n v="0"/>
    <s v="South"/>
    <s v=""/>
  </r>
  <r>
    <x v="197"/>
    <n v="14"/>
    <x v="37"/>
    <s v="Merchant_039"/>
    <d v="2026-01-22T20:35:00"/>
    <x v="4"/>
    <s v="UPI"/>
    <x v="0"/>
    <n v="84"/>
    <d v="2026-01-22T00:00:00"/>
    <n v="799"/>
    <s v="North"/>
    <s v=""/>
  </r>
  <r>
    <x v="198"/>
    <n v="15"/>
    <x v="8"/>
    <s v="Merchant_012"/>
    <d v="2026-01-27T22:17:00"/>
    <x v="8"/>
    <s v="UPI"/>
    <x v="0"/>
    <n v="34"/>
    <d v="2026-01-27T00:00:00"/>
    <n v="149"/>
    <s v="East"/>
    <s v=""/>
  </r>
  <r>
    <x v="199"/>
    <n v="174"/>
    <x v="4"/>
    <s v="Merchant_023"/>
    <d v="2026-01-23T09:58:00"/>
    <x v="8"/>
    <s v="UPI"/>
    <x v="0"/>
    <n v="0"/>
    <d v="2026-01-23T00:00:00"/>
    <n v="247"/>
    <s v="North"/>
    <s v=""/>
  </r>
  <r>
    <x v="200"/>
    <n v="337"/>
    <x v="22"/>
    <s v="Merchant_026"/>
    <d v="2026-01-06T04:36:00"/>
    <x v="1"/>
    <s v="UPI"/>
    <x v="0"/>
    <n v="8"/>
    <d v="2026-01-06T00:00:00"/>
    <n v="49"/>
    <s v="East"/>
    <s v=""/>
  </r>
  <r>
    <x v="201"/>
    <n v="16"/>
    <x v="18"/>
    <s v="Merchant_006"/>
    <d v="2026-01-05T23:40:00"/>
    <x v="2"/>
    <s v="UPI"/>
    <x v="0"/>
    <n v="95"/>
    <d v="2026-01-05T00:00:00"/>
    <n v="1499"/>
    <s v="South"/>
    <s v=""/>
  </r>
  <r>
    <x v="202"/>
    <n v="215"/>
    <x v="24"/>
    <s v="Merchant_030"/>
    <d v="2026-01-17T06:24:00"/>
    <x v="1"/>
    <s v="UPI"/>
    <x v="0"/>
    <n v="43"/>
    <d v="2026-01-17T00:00:00"/>
    <n v="49"/>
    <s v="West"/>
    <s v=""/>
  </r>
  <r>
    <x v="203"/>
    <n v="81"/>
    <x v="12"/>
    <s v="Merchant_040"/>
    <d v="2026-01-03T01:09:00"/>
    <x v="1"/>
    <s v="UPI"/>
    <x v="0"/>
    <n v="6"/>
    <d v="2026-01-03T00:00:00"/>
    <n v="49"/>
    <s v="South"/>
    <s v=""/>
  </r>
  <r>
    <x v="204"/>
    <n v="227"/>
    <x v="9"/>
    <s v="Merchant_028"/>
    <d v="2026-01-22T02:17:00"/>
    <x v="3"/>
    <s v="UPI"/>
    <x v="0"/>
    <n v="62"/>
    <d v="2026-01-22T00:00:00"/>
    <n v="99"/>
    <s v="South"/>
    <s v=""/>
  </r>
  <r>
    <x v="205"/>
    <n v="140"/>
    <x v="16"/>
    <s v="Merchant_014"/>
    <d v="2026-01-20T14:26:00"/>
    <x v="5"/>
    <s v="Wallet"/>
    <x v="1"/>
    <n v="96"/>
    <d v="2026-01-20T00:00:00"/>
    <n v="0"/>
    <s v="East"/>
    <s v=""/>
  </r>
  <r>
    <x v="206"/>
    <n v="221"/>
    <x v="30"/>
    <s v="Merchant_008"/>
    <d v="2026-01-17T03:22:00"/>
    <x v="5"/>
    <s v="UPI"/>
    <x v="0"/>
    <n v="36"/>
    <d v="2026-01-17T00:00:00"/>
    <n v="348"/>
    <s v="North"/>
    <s v=""/>
  </r>
  <r>
    <x v="207"/>
    <n v="250"/>
    <x v="35"/>
    <s v="Merchant_034"/>
    <d v="2026-01-22T21:37:00"/>
    <x v="5"/>
    <s v="Wallet"/>
    <x v="0"/>
    <n v="85"/>
    <d v="2026-01-22T00:00:00"/>
    <n v="299"/>
    <s v="South"/>
    <s v=""/>
  </r>
  <r>
    <x v="208"/>
    <n v="203"/>
    <x v="37"/>
    <s v="Merchant_039"/>
    <d v="2026-01-10T01:14:00"/>
    <x v="12"/>
    <s v="UPI"/>
    <x v="0"/>
    <n v="7"/>
    <d v="2026-01-10T00:00:00"/>
    <n v="-1"/>
    <s v="North"/>
    <s v=""/>
  </r>
  <r>
    <x v="209"/>
    <n v="109"/>
    <x v="39"/>
    <s v="Merchant_009"/>
    <d v="2026-01-01T06:19:00"/>
    <x v="7"/>
    <s v="Wallet"/>
    <x v="0"/>
    <n v="97"/>
    <d v="2026-01-01T00:00:00"/>
    <n v="499"/>
    <s v="North"/>
    <s v=""/>
  </r>
  <r>
    <x v="210"/>
    <n v="62"/>
    <x v="36"/>
    <s v="Merchant_001"/>
    <d v="2026-01-09T09:20:00"/>
    <x v="10"/>
    <s v="Wallet"/>
    <x v="0"/>
    <n v="63"/>
    <d v="2026-01-09T00:00:00"/>
    <n v="5048"/>
    <s v="South"/>
    <s v="High-Value Merchant Day"/>
  </r>
  <r>
    <x v="211"/>
    <n v="67"/>
    <x v="14"/>
    <s v="Merchant_025"/>
    <d v="2026-01-24T13:11:00"/>
    <x v="1"/>
    <s v="UPI"/>
    <x v="0"/>
    <n v="68"/>
    <d v="2026-01-24T00:00:00"/>
    <n v="497"/>
    <s v="South"/>
    <s v=""/>
  </r>
  <r>
    <x v="212"/>
    <n v="287"/>
    <x v="4"/>
    <s v="Merchant_023"/>
    <d v="2026-01-23T07:32:00"/>
    <x v="1"/>
    <s v="UPI"/>
    <x v="0"/>
    <n v="9"/>
    <d v="2026-01-23T00:00:00"/>
    <n v="247"/>
    <s v="North"/>
    <s v=""/>
  </r>
  <r>
    <x v="213"/>
    <n v="224"/>
    <x v="27"/>
    <s v="Merchant_002"/>
    <d v="2026-01-13T23:02:00"/>
    <x v="1"/>
    <s v="Card"/>
    <x v="0"/>
    <n v="58"/>
    <d v="2026-01-13T00:00:00"/>
    <n v="49"/>
    <s v="West"/>
    <s v=""/>
  </r>
  <r>
    <x v="214"/>
    <n v="161"/>
    <x v="21"/>
    <s v="Merchant_037"/>
    <d v="2026-01-30T02:55:00"/>
    <x v="5"/>
    <s v="UPI"/>
    <x v="0"/>
    <n v="54"/>
    <d v="2026-01-30T00:00:00"/>
    <n v="299"/>
    <s v="South"/>
    <s v=""/>
  </r>
  <r>
    <x v="215"/>
    <n v="328"/>
    <x v="1"/>
    <s v="Merchant_027"/>
    <d v="2026-01-19T12:45:00"/>
    <x v="1"/>
    <s v="UPI"/>
    <x v="2"/>
    <n v="37"/>
    <d v="2026-01-19T00:00:00"/>
    <n v="0"/>
    <s v="North"/>
    <s v=""/>
  </r>
  <r>
    <x v="216"/>
    <n v="167"/>
    <x v="2"/>
    <s v="Merchant_011"/>
    <d v="2026-01-04T12:01:00"/>
    <x v="2"/>
    <s v="Card"/>
    <x v="1"/>
    <n v="79"/>
    <d v="2026-01-04T00:00:00"/>
    <n v="0"/>
    <s v="North"/>
    <s v=""/>
  </r>
  <r>
    <x v="217"/>
    <n v="186"/>
    <x v="18"/>
    <s v="Merchant_006"/>
    <d v="2026-01-15T22:58:00"/>
    <x v="1"/>
    <s v="Wallet"/>
    <x v="0"/>
    <n v="55"/>
    <d v="2026-01-15T00:00:00"/>
    <n v="49"/>
    <s v="South"/>
    <s v=""/>
  </r>
  <r>
    <x v="218"/>
    <n v="224"/>
    <x v="34"/>
    <s v="Merchant_038"/>
    <d v="2026-01-28T03:15:00"/>
    <x v="5"/>
    <s v="Wallet"/>
    <x v="1"/>
    <n v="51"/>
    <d v="2026-01-28T00:00:00"/>
    <n v="0"/>
    <s v="East"/>
    <s v=""/>
  </r>
  <r>
    <x v="219"/>
    <n v="159"/>
    <x v="3"/>
    <s v="Merchant_022"/>
    <d v="2026-01-17T02:25:00"/>
    <x v="4"/>
    <s v="UPI"/>
    <x v="0"/>
    <n v="28"/>
    <d v="2026-01-17T00:00:00"/>
    <n v="1598"/>
    <s v="South"/>
    <s v=""/>
  </r>
  <r>
    <x v="220"/>
    <n v="262"/>
    <x v="30"/>
    <s v="Merchant_008"/>
    <d v="2026-01-11T05:04:00"/>
    <x v="8"/>
    <s v="UPI"/>
    <x v="0"/>
    <n v="67"/>
    <d v="2026-01-11T00:00:00"/>
    <n v="149"/>
    <s v="North"/>
    <s v=""/>
  </r>
  <r>
    <x v="221"/>
    <n v="179"/>
    <x v="4"/>
    <s v="Merchant_023"/>
    <d v="2026-01-17T06:57:00"/>
    <x v="1"/>
    <s v="Wallet"/>
    <x v="0"/>
    <n v="93"/>
    <d v="2026-01-17T00:00:00"/>
    <n v="49"/>
    <s v="North"/>
    <s v=""/>
  </r>
  <r>
    <x v="222"/>
    <n v="76"/>
    <x v="0"/>
    <s v="Merchant_016"/>
    <d v="2026-01-27T20:52:00"/>
    <x v="5"/>
    <s v="UPI"/>
    <x v="0"/>
    <n v="13"/>
    <d v="2026-01-27T00:00:00"/>
    <n v="348"/>
    <s v="West"/>
    <s v=""/>
  </r>
  <r>
    <x v="223"/>
    <n v="89"/>
    <x v="37"/>
    <s v="Merchant_039"/>
    <d v="2026-01-05T08:12:00"/>
    <x v="5"/>
    <s v="UPI"/>
    <x v="0"/>
    <n v="19"/>
    <d v="2026-01-05T00:00:00"/>
    <n v="299"/>
    <s v="North"/>
    <s v=""/>
  </r>
  <r>
    <x v="224"/>
    <n v="91"/>
    <x v="32"/>
    <s v="Merchant_032"/>
    <d v="2026-01-25T20:04:00"/>
    <x v="1"/>
    <s v="UPI"/>
    <x v="0"/>
    <n v="59"/>
    <d v="2026-01-25T00:00:00"/>
    <n v="49"/>
    <s v="West"/>
    <s v=""/>
  </r>
  <r>
    <x v="225"/>
    <n v="297"/>
    <x v="26"/>
    <s v="Merchant_029"/>
    <d v="2026-01-25T18:48:00"/>
    <x v="3"/>
    <s v="Card"/>
    <x v="2"/>
    <n v="87"/>
    <d v="2026-01-25T00:00:00"/>
    <n v="299"/>
    <s v="North"/>
    <s v=""/>
  </r>
  <r>
    <x v="226"/>
    <n v="326"/>
    <x v="12"/>
    <s v="Merchant_040"/>
    <d v="2026-01-30T18:41:00"/>
    <x v="7"/>
    <s v="Card"/>
    <x v="0"/>
    <n v="41"/>
    <d v="2026-01-30T00:00:00"/>
    <n v="499"/>
    <s v="South"/>
    <s v=""/>
  </r>
  <r>
    <x v="227"/>
    <n v="78"/>
    <x v="26"/>
    <s v="Merchant_029"/>
    <d v="2026-01-28T20:20:00"/>
    <x v="8"/>
    <s v="UPI"/>
    <x v="0"/>
    <n v="8"/>
    <d v="2026-01-28T00:00:00"/>
    <n v="149"/>
    <s v="North"/>
    <s v=""/>
  </r>
  <r>
    <x v="228"/>
    <n v="156"/>
    <x v="6"/>
    <s v="Merchant_018"/>
    <d v="2026-01-16T14:40:00"/>
    <x v="0"/>
    <s v="Card"/>
    <x v="0"/>
    <n v="75"/>
    <d v="2026-01-16T00:00:00"/>
    <n v="3248"/>
    <s v="West"/>
    <s v=""/>
  </r>
  <r>
    <x v="229"/>
    <n v="38"/>
    <x v="15"/>
    <s v="Merchant_020"/>
    <d v="2026-01-02T11:32:00"/>
    <x v="1"/>
    <s v="Wallet"/>
    <x v="1"/>
    <n v="59"/>
    <d v="2026-01-02T00:00:00"/>
    <n v="0"/>
    <s v="East"/>
    <s v=""/>
  </r>
  <r>
    <x v="230"/>
    <n v="189"/>
    <x v="13"/>
    <s v="Merchant_019"/>
    <d v="2026-01-15T01:03:00"/>
    <x v="3"/>
    <s v="UPI"/>
    <x v="1"/>
    <n v="9"/>
    <d v="2026-01-15T00:00:00"/>
    <n v="299"/>
    <s v="North"/>
    <s v=""/>
  </r>
  <r>
    <x v="231"/>
    <n v="305"/>
    <x v="10"/>
    <s v="Merchant_033"/>
    <d v="2026-01-21T02:39:00"/>
    <x v="5"/>
    <s v="Card"/>
    <x v="0"/>
    <n v="49"/>
    <d v="2026-01-21T00:00:00"/>
    <n v="3298"/>
    <s v="East"/>
    <s v=""/>
  </r>
  <r>
    <x v="232"/>
    <n v="22"/>
    <x v="26"/>
    <s v="Merchant_029"/>
    <d v="2026-01-15T18:35:00"/>
    <x v="4"/>
    <s v="UPI"/>
    <x v="0"/>
    <n v="73"/>
    <d v="2026-01-15T00:00:00"/>
    <n v="1098"/>
    <s v="North"/>
    <s v=""/>
  </r>
  <r>
    <x v="233"/>
    <n v="310"/>
    <x v="20"/>
    <s v="Merchant_031"/>
    <d v="2026-01-21T06:20:00"/>
    <x v="1"/>
    <s v="Card"/>
    <x v="0"/>
    <n v="64"/>
    <d v="2026-01-21T00:00:00"/>
    <n v="49"/>
    <s v="East"/>
    <s v=""/>
  </r>
  <r>
    <x v="234"/>
    <n v="53"/>
    <x v="3"/>
    <s v="Merchant_022"/>
    <d v="2026-01-05T01:28:00"/>
    <x v="5"/>
    <s v="UPI"/>
    <x v="0"/>
    <n v="91"/>
    <d v="2026-01-05T00:00:00"/>
    <n v="448"/>
    <s v="South"/>
    <s v=""/>
  </r>
  <r>
    <x v="235"/>
    <n v="89"/>
    <x v="11"/>
    <s v="Merchant_003"/>
    <d v="2026-01-03T16:41:00"/>
    <x v="8"/>
    <s v="Card"/>
    <x v="0"/>
    <n v="31"/>
    <d v="2026-01-03T00:00:00"/>
    <n v="198"/>
    <s v="East"/>
    <s v=""/>
  </r>
  <r>
    <x v="236"/>
    <n v="269"/>
    <x v="35"/>
    <s v="Merchant_034"/>
    <d v="2026-01-23T14:28:00"/>
    <x v="8"/>
    <s v="UPI"/>
    <x v="0"/>
    <n v="78"/>
    <d v="2026-01-23T00:00:00"/>
    <n v="3148"/>
    <s v="South"/>
    <s v=""/>
  </r>
  <r>
    <x v="237"/>
    <n v="145"/>
    <x v="14"/>
    <s v="Merchant_025"/>
    <d v="2026-01-06T11:23:00"/>
    <x v="4"/>
    <s v="UPI"/>
    <x v="0"/>
    <n v="52"/>
    <d v="2026-01-06T00:00:00"/>
    <n v="898"/>
    <s v="South"/>
    <s v=""/>
  </r>
  <r>
    <x v="238"/>
    <n v="307"/>
    <x v="29"/>
    <s v="Merchant_004"/>
    <d v="2026-01-25T10:43:00"/>
    <x v="2"/>
    <s v="UPI"/>
    <x v="0"/>
    <n v="80"/>
    <d v="2026-01-25T00:00:00"/>
    <n v="1998"/>
    <s v="East"/>
    <s v=""/>
  </r>
  <r>
    <x v="239"/>
    <n v="169"/>
    <x v="23"/>
    <s v="Merchant_007"/>
    <d v="2026-01-21T10:04:00"/>
    <x v="2"/>
    <s v="Wallet"/>
    <x v="0"/>
    <n v="71"/>
    <d v="2026-01-21T00:00:00"/>
    <n v="1499"/>
    <s v="East"/>
    <s v=""/>
  </r>
  <r>
    <x v="240"/>
    <n v="340"/>
    <x v="33"/>
    <s v="Merchant_010"/>
    <d v="2026-01-11T02:37:00"/>
    <x v="1"/>
    <s v="Card"/>
    <x v="0"/>
    <n v="44"/>
    <d v="2026-01-11T00:00:00"/>
    <n v="98"/>
    <s v="West"/>
    <s v=""/>
  </r>
  <r>
    <x v="241"/>
    <n v="340"/>
    <x v="22"/>
    <s v="Merchant_026"/>
    <d v="2026-01-10T20:44:00"/>
    <x v="13"/>
    <s v="Card"/>
    <x v="0"/>
    <n v="16"/>
    <d v="2026-01-10T00:00:00"/>
    <n v="349"/>
    <s v="East"/>
    <s v=""/>
  </r>
  <r>
    <x v="242"/>
    <n v="159"/>
    <x v="25"/>
    <s v="Merchant_036"/>
    <d v="2026-01-20T22:05:00"/>
    <x v="1"/>
    <s v="UPI"/>
    <x v="0"/>
    <n v="48"/>
    <d v="2026-01-20T00:00:00"/>
    <n v="49"/>
    <s v="East"/>
    <s v=""/>
  </r>
  <r>
    <x v="243"/>
    <n v="66"/>
    <x v="35"/>
    <s v="Merchant_034"/>
    <d v="2026-01-21T10:52:00"/>
    <x v="4"/>
    <s v="UPI"/>
    <x v="0"/>
    <n v="11"/>
    <d v="2026-01-21T00:00:00"/>
    <n v="799"/>
    <s v="South"/>
    <s v=""/>
  </r>
  <r>
    <x v="244"/>
    <n v="261"/>
    <x v="38"/>
    <s v="Merchant_024"/>
    <d v="2026-01-21T21:27:00"/>
    <x v="4"/>
    <s v="Card"/>
    <x v="0"/>
    <n v="2"/>
    <d v="2026-01-21T00:00:00"/>
    <n v="799"/>
    <s v="North"/>
    <s v=""/>
  </r>
  <r>
    <x v="245"/>
    <n v="110"/>
    <x v="3"/>
    <s v="Merchant_022"/>
    <d v="2026-01-12T09:11:00"/>
    <x v="4"/>
    <s v="UPI"/>
    <x v="0"/>
    <n v="98"/>
    <d v="2026-01-12T00:00:00"/>
    <n v="1298"/>
    <s v="South"/>
    <s v=""/>
  </r>
  <r>
    <x v="246"/>
    <n v="71"/>
    <x v="33"/>
    <s v="Merchant_010"/>
    <d v="2026-01-16T06:14:00"/>
    <x v="1"/>
    <s v="UPI"/>
    <x v="0"/>
    <n v="9"/>
    <d v="2026-01-16T00:00:00"/>
    <n v="49"/>
    <s v="West"/>
    <s v=""/>
  </r>
  <r>
    <x v="247"/>
    <n v="277"/>
    <x v="35"/>
    <s v="Merchant_034"/>
    <d v="2026-01-10T03:32:00"/>
    <x v="1"/>
    <s v="UPI"/>
    <x v="0"/>
    <n v="4"/>
    <d v="2026-01-10T00:00:00"/>
    <n v="49"/>
    <s v="South"/>
    <s v=""/>
  </r>
  <r>
    <x v="248"/>
    <n v="93"/>
    <x v="12"/>
    <s v="Merchant_040"/>
    <d v="2026-01-13T04:10:00"/>
    <x v="5"/>
    <s v="UPI"/>
    <x v="0"/>
    <n v="21"/>
    <d v="2026-01-13T00:00:00"/>
    <n v="299"/>
    <s v="South"/>
    <s v=""/>
  </r>
  <r>
    <x v="249"/>
    <n v="211"/>
    <x v="38"/>
    <s v="Merchant_024"/>
    <d v="2026-01-24T14:02:00"/>
    <x v="3"/>
    <s v="Netbanking"/>
    <x v="0"/>
    <n v="86"/>
    <d v="2026-01-24T00:00:00"/>
    <n v="148"/>
    <s v="North"/>
    <s v=""/>
  </r>
  <r>
    <x v="250"/>
    <n v="313"/>
    <x v="13"/>
    <s v="Merchant_019"/>
    <d v="2026-01-24T07:28:00"/>
    <x v="8"/>
    <s v="UPI"/>
    <x v="0"/>
    <n v="96"/>
    <d v="2026-01-24T00:00:00"/>
    <n v="149"/>
    <s v="North"/>
    <s v=""/>
  </r>
  <r>
    <x v="251"/>
    <n v="274"/>
    <x v="0"/>
    <s v="Merchant_016"/>
    <d v="2026-01-24T14:14:00"/>
    <x v="1"/>
    <s v="Wallet"/>
    <x v="1"/>
    <n v="39"/>
    <d v="2026-01-24T00:00:00"/>
    <n v="1499"/>
    <s v="West"/>
    <s v=""/>
  </r>
  <r>
    <x v="252"/>
    <n v="100"/>
    <x v="38"/>
    <s v="Merchant_024"/>
    <d v="2026-01-26T15:57:00"/>
    <x v="5"/>
    <s v="UPI"/>
    <x v="0"/>
    <n v="86"/>
    <d v="2026-01-26T00:00:00"/>
    <n v="348"/>
    <s v="North"/>
    <s v=""/>
  </r>
  <r>
    <x v="253"/>
    <n v="145"/>
    <x v="14"/>
    <s v="Merchant_025"/>
    <d v="2026-01-19T14:29:00"/>
    <x v="0"/>
    <s v="Wallet"/>
    <x v="0"/>
    <n v="64"/>
    <d v="2026-01-19T00:00:00"/>
    <n v="2999"/>
    <s v="South"/>
    <s v=""/>
  </r>
  <r>
    <x v="254"/>
    <n v="103"/>
    <x v="37"/>
    <s v="Merchant_039"/>
    <d v="2026-01-17T13:10:00"/>
    <x v="0"/>
    <s v="Wallet"/>
    <x v="0"/>
    <n v="17"/>
    <d v="2026-01-17T00:00:00"/>
    <n v="2999"/>
    <s v="North"/>
    <s v=""/>
  </r>
  <r>
    <x v="255"/>
    <n v="329"/>
    <x v="20"/>
    <s v="Merchant_031"/>
    <d v="2026-01-28T08:03:00"/>
    <x v="5"/>
    <s v="Wallet"/>
    <x v="1"/>
    <n v="47"/>
    <d v="2026-01-28T00:00:00"/>
    <n v="0"/>
    <s v="East"/>
    <s v=""/>
  </r>
  <r>
    <x v="256"/>
    <n v="265"/>
    <x v="30"/>
    <s v="Merchant_008"/>
    <d v="2026-01-18T03:45:00"/>
    <x v="7"/>
    <s v="Netbanking"/>
    <x v="0"/>
    <n v="36"/>
    <d v="2026-01-18T00:00:00"/>
    <n v="499"/>
    <s v="North"/>
    <s v=""/>
  </r>
  <r>
    <x v="257"/>
    <n v="231"/>
    <x v="10"/>
    <s v="Merchant_033"/>
    <d v="2026-01-03T05:17:00"/>
    <x v="8"/>
    <s v="UPI"/>
    <x v="1"/>
    <n v="18"/>
    <d v="2026-01-03T00:00:00"/>
    <n v="0"/>
    <s v="East"/>
    <s v=""/>
  </r>
  <r>
    <x v="258"/>
    <n v="114"/>
    <x v="26"/>
    <s v="Merchant_029"/>
    <d v="2026-01-27T13:05:00"/>
    <x v="14"/>
    <s v="UPI"/>
    <x v="2"/>
    <n v="44"/>
    <d v="2026-01-27T00:00:00"/>
    <n v="99"/>
    <s v="North"/>
    <s v=""/>
  </r>
  <r>
    <x v="259"/>
    <n v="28"/>
    <x v="22"/>
    <s v="Merchant_026"/>
    <d v="2026-01-30T00:26:00"/>
    <x v="2"/>
    <s v="UPI"/>
    <x v="1"/>
    <n v="64"/>
    <d v="2026-01-30T00:00:00"/>
    <n v="0"/>
    <s v="East"/>
    <s v=""/>
  </r>
  <r>
    <x v="260"/>
    <n v="42"/>
    <x v="38"/>
    <s v="Merchant_024"/>
    <d v="2026-01-12T07:24:00"/>
    <x v="8"/>
    <s v="UPI"/>
    <x v="0"/>
    <n v="28"/>
    <d v="2026-01-12T00:00:00"/>
    <n v="149"/>
    <s v="North"/>
    <s v=""/>
  </r>
  <r>
    <x v="261"/>
    <n v="51"/>
    <x v="3"/>
    <s v="Merchant_022"/>
    <d v="2026-01-01T10:59:00"/>
    <x v="4"/>
    <s v="UPI"/>
    <x v="0"/>
    <n v="18"/>
    <d v="2026-01-01T00:00:00"/>
    <n v="799"/>
    <s v="South"/>
    <s v=""/>
  </r>
  <r>
    <x v="262"/>
    <n v="242"/>
    <x v="39"/>
    <s v="Merchant_009"/>
    <d v="2026-01-05T01:18:00"/>
    <x v="8"/>
    <s v="UPI"/>
    <x v="0"/>
    <n v="97"/>
    <d v="2026-01-05T00:00:00"/>
    <n v="149"/>
    <s v="North"/>
    <s v=""/>
  </r>
  <r>
    <x v="263"/>
    <n v="316"/>
    <x v="36"/>
    <s v="Merchant_001"/>
    <d v="2026-01-23T15:28:00"/>
    <x v="8"/>
    <s v="UPI"/>
    <x v="0"/>
    <n v="10"/>
    <d v="2026-01-23T00:00:00"/>
    <n v="3148"/>
    <s v="South"/>
    <s v=""/>
  </r>
  <r>
    <x v="264"/>
    <n v="77"/>
    <x v="25"/>
    <s v="Merchant_036"/>
    <d v="2026-01-01T08:13:00"/>
    <x v="8"/>
    <s v="UPI"/>
    <x v="0"/>
    <n v="93"/>
    <d v="2026-01-01T00:00:00"/>
    <n v="149"/>
    <s v="East"/>
    <s v=""/>
  </r>
  <r>
    <x v="265"/>
    <n v="57"/>
    <x v="13"/>
    <s v="Merchant_019"/>
    <d v="2026-01-20T16:27:00"/>
    <x v="1"/>
    <s v="UPI"/>
    <x v="0"/>
    <n v="30"/>
    <d v="2026-01-20T00:00:00"/>
    <n v="348"/>
    <s v="North"/>
    <s v=""/>
  </r>
  <r>
    <x v="266"/>
    <n v="123"/>
    <x v="1"/>
    <s v="Merchant_027"/>
    <d v="2026-01-10T03:03:00"/>
    <x v="3"/>
    <s v="Netbanking"/>
    <x v="0"/>
    <n v="81"/>
    <d v="2026-01-10T00:00:00"/>
    <n v="99"/>
    <s v="North"/>
    <s v=""/>
  </r>
  <r>
    <x v="267"/>
    <n v="33"/>
    <x v="30"/>
    <s v="Merchant_008"/>
    <d v="2026-01-26T19:29:00"/>
    <x v="5"/>
    <s v="Wallet"/>
    <x v="0"/>
    <n v="63"/>
    <d v="2026-01-26T00:00:00"/>
    <n v="598"/>
    <s v="North"/>
    <s v=""/>
  </r>
  <r>
    <x v="268"/>
    <n v="324"/>
    <x v="10"/>
    <s v="Merchant_033"/>
    <d v="2026-01-20T17:01:00"/>
    <x v="7"/>
    <s v="UPI"/>
    <x v="0"/>
    <n v="73"/>
    <d v="2026-01-20T00:00:00"/>
    <n v="499"/>
    <s v="East"/>
    <s v=""/>
  </r>
  <r>
    <x v="269"/>
    <n v="150"/>
    <x v="9"/>
    <s v="Merchant_028"/>
    <d v="2026-01-08T22:09:00"/>
    <x v="1"/>
    <s v="UPI"/>
    <x v="1"/>
    <n v="0"/>
    <d v="2026-01-08T00:00:00"/>
    <n v="0"/>
    <s v="South"/>
    <s v=""/>
  </r>
  <r>
    <x v="270"/>
    <n v="293"/>
    <x v="1"/>
    <s v="Merchant_027"/>
    <d v="2026-01-20T11:15:00"/>
    <x v="10"/>
    <s v="UPI"/>
    <x v="0"/>
    <n v="23"/>
    <d v="2026-01-20T00:00:00"/>
    <n v="4999"/>
    <s v="North"/>
    <s v=""/>
  </r>
  <r>
    <x v="271"/>
    <n v="269"/>
    <x v="38"/>
    <s v="Merchant_024"/>
    <d v="2026-01-22T21:05:00"/>
    <x v="1"/>
    <s v="Wallet"/>
    <x v="0"/>
    <n v="8"/>
    <d v="2026-01-22T00:00:00"/>
    <n v="49"/>
    <s v="North"/>
    <s v=""/>
  </r>
  <r>
    <x v="272"/>
    <n v="260"/>
    <x v="25"/>
    <s v="Merchant_036"/>
    <d v="2026-01-17T17:32:00"/>
    <x v="9"/>
    <s v="UPI"/>
    <x v="0"/>
    <n v="2"/>
    <d v="2026-01-17T00:00:00"/>
    <n v="1399"/>
    <s v="East"/>
    <s v=""/>
  </r>
  <r>
    <x v="273"/>
    <n v="326"/>
    <x v="14"/>
    <s v="Merchant_025"/>
    <d v="2026-01-13T15:02:00"/>
    <x v="1"/>
    <s v="UPI"/>
    <x v="0"/>
    <n v="47"/>
    <d v="2026-01-13T00:00:00"/>
    <n v="49"/>
    <s v="South"/>
    <s v=""/>
  </r>
  <r>
    <x v="274"/>
    <n v="183"/>
    <x v="31"/>
    <s v="Merchant_005"/>
    <d v="2026-01-09T23:01:00"/>
    <x v="8"/>
    <s v="Card"/>
    <x v="0"/>
    <n v="44"/>
    <d v="2026-01-09T00:00:00"/>
    <n v="448"/>
    <s v="South"/>
    <s v=""/>
  </r>
  <r>
    <x v="275"/>
    <n v="322"/>
    <x v="23"/>
    <s v="Merchant_007"/>
    <d v="2026-01-08T23:42:00"/>
    <x v="5"/>
    <s v="UPI"/>
    <x v="0"/>
    <n v="98"/>
    <d v="2026-01-08T00:00:00"/>
    <n v="299"/>
    <s v="East"/>
    <s v=""/>
  </r>
  <r>
    <x v="276"/>
    <n v="330"/>
    <x v="8"/>
    <s v="Merchant_012"/>
    <d v="2026-01-12T17:21:00"/>
    <x v="2"/>
    <s v="Netbanking"/>
    <x v="0"/>
    <n v="99"/>
    <d v="2026-01-12T00:00:00"/>
    <n v="1499"/>
    <s v="East"/>
    <s v=""/>
  </r>
  <r>
    <x v="277"/>
    <n v="246"/>
    <x v="8"/>
    <s v="Merchant_012"/>
    <d v="2026-01-22T14:44:00"/>
    <x v="3"/>
    <s v="Wallet"/>
    <x v="0"/>
    <n v="17"/>
    <d v="2026-01-22T00:00:00"/>
    <n v="99"/>
    <s v="East"/>
    <s v=""/>
  </r>
  <r>
    <x v="278"/>
    <n v="235"/>
    <x v="11"/>
    <s v="Merchant_003"/>
    <d v="2026-01-03T22:49:00"/>
    <x v="1"/>
    <s v="UPI"/>
    <x v="0"/>
    <n v="37"/>
    <d v="2026-01-03T00:00:00"/>
    <n v="198"/>
    <s v="East"/>
    <s v=""/>
  </r>
  <r>
    <x v="279"/>
    <n v="103"/>
    <x v="11"/>
    <s v="Merchant_003"/>
    <d v="2026-01-07T01:50:00"/>
    <x v="7"/>
    <s v="UPI"/>
    <x v="0"/>
    <n v="40"/>
    <d v="2026-01-07T00:00:00"/>
    <n v="798"/>
    <s v="East"/>
    <s v=""/>
  </r>
  <r>
    <x v="280"/>
    <n v="204"/>
    <x v="7"/>
    <s v="Merchant_035"/>
    <d v="2026-01-30T09:32:00"/>
    <x v="3"/>
    <s v="Wallet"/>
    <x v="0"/>
    <n v="60"/>
    <d v="2026-01-30T00:00:00"/>
    <n v="99"/>
    <s v="East"/>
    <s v=""/>
  </r>
  <r>
    <x v="281"/>
    <n v="332"/>
    <x v="5"/>
    <s v="Merchant_013"/>
    <d v="2026-01-09T01:48:00"/>
    <x v="1"/>
    <s v="Card"/>
    <x v="0"/>
    <n v="36"/>
    <d v="2026-01-09T00:00:00"/>
    <n v="198"/>
    <s v="East"/>
    <s v=""/>
  </r>
  <r>
    <x v="282"/>
    <n v="336"/>
    <x v="3"/>
    <s v="Merchant_022"/>
    <d v="2026-01-12T01:55:00"/>
    <x v="7"/>
    <s v="UPI"/>
    <x v="0"/>
    <n v="34"/>
    <d v="2026-01-12T00:00:00"/>
    <n v="1298"/>
    <s v="South"/>
    <s v=""/>
  </r>
  <r>
    <x v="283"/>
    <n v="205"/>
    <x v="26"/>
    <s v="Merchant_029"/>
    <d v="2026-01-04T11:27:00"/>
    <x v="3"/>
    <s v="Wallet"/>
    <x v="0"/>
    <n v="49"/>
    <d v="2026-01-04T00:00:00"/>
    <n v="99"/>
    <s v="North"/>
    <s v=""/>
  </r>
  <r>
    <x v="284"/>
    <n v="255"/>
    <x v="38"/>
    <s v="Merchant_024"/>
    <d v="2026-01-11T05:31:00"/>
    <x v="4"/>
    <s v="UPI"/>
    <x v="0"/>
    <n v="66"/>
    <d v="2026-01-11T00:00:00"/>
    <n v="799"/>
    <s v="North"/>
    <s v=""/>
  </r>
  <r>
    <x v="285"/>
    <n v="218"/>
    <x v="18"/>
    <s v="Merchant_006"/>
    <d v="2026-01-09T02:46:00"/>
    <x v="3"/>
    <s v="UPI"/>
    <x v="0"/>
    <n v="55"/>
    <d v="2026-01-09T00:00:00"/>
    <n v="99"/>
    <s v="South"/>
    <s v=""/>
  </r>
  <r>
    <x v="286"/>
    <n v="151"/>
    <x v="17"/>
    <s v="Merchant_021"/>
    <d v="2026-01-20T05:34:00"/>
    <x v="1"/>
    <s v="UPI"/>
    <x v="0"/>
    <n v="13"/>
    <d v="2026-01-20T00:00:00"/>
    <n v="49"/>
    <s v="East"/>
    <s v=""/>
  </r>
  <r>
    <x v="287"/>
    <n v="152"/>
    <x v="15"/>
    <s v="Merchant_020"/>
    <d v="2026-01-03T10:42:00"/>
    <x v="1"/>
    <s v="UPI"/>
    <x v="1"/>
    <n v="57"/>
    <d v="2026-01-03T00:00:00"/>
    <n v="299"/>
    <s v="East"/>
    <s v=""/>
  </r>
  <r>
    <x v="288"/>
    <n v="86"/>
    <x v="26"/>
    <s v="Merchant_029"/>
    <d v="2026-01-20T22:27:00"/>
    <x v="15"/>
    <s v="Card"/>
    <x v="0"/>
    <n v="44"/>
    <d v="2026-01-20T00:00:00"/>
    <n v="249"/>
    <s v="North"/>
    <s v=""/>
  </r>
  <r>
    <x v="289"/>
    <n v="181"/>
    <x v="12"/>
    <s v="Merchant_040"/>
    <d v="2026-01-15T01:46:00"/>
    <x v="8"/>
    <s v="UPI"/>
    <x v="0"/>
    <n v="55"/>
    <d v="2026-01-15T00:00:00"/>
    <n v="149"/>
    <s v="South"/>
    <s v=""/>
  </r>
  <r>
    <x v="290"/>
    <n v="30"/>
    <x v="31"/>
    <s v="Merchant_005"/>
    <d v="2026-01-09T20:50:00"/>
    <x v="5"/>
    <s v="UPI"/>
    <x v="0"/>
    <n v="85"/>
    <d v="2026-01-09T00:00:00"/>
    <n v="448"/>
    <s v="South"/>
    <s v=""/>
  </r>
  <r>
    <x v="291"/>
    <n v="263"/>
    <x v="2"/>
    <s v="Merchant_011"/>
    <d v="2026-01-21T12:23:00"/>
    <x v="8"/>
    <s v="Wallet"/>
    <x v="0"/>
    <n v="3"/>
    <d v="2026-01-21T00:00:00"/>
    <n v="149"/>
    <s v="North"/>
    <s v=""/>
  </r>
  <r>
    <x v="292"/>
    <n v="225"/>
    <x v="11"/>
    <s v="Merchant_003"/>
    <d v="2026-01-05T19:43:00"/>
    <x v="3"/>
    <s v="Netbanking"/>
    <x v="0"/>
    <n v="16"/>
    <d v="2026-01-05T00:00:00"/>
    <n v="99"/>
    <s v="East"/>
    <s v=""/>
  </r>
  <r>
    <x v="293"/>
    <n v="331"/>
    <x v="38"/>
    <s v="Merchant_024"/>
    <d v="2026-01-03T07:49:00"/>
    <x v="1"/>
    <s v="Card"/>
    <x v="0"/>
    <n v="46"/>
    <d v="2026-01-03T00:00:00"/>
    <n v="49"/>
    <s v="North"/>
    <s v=""/>
  </r>
  <r>
    <x v="294"/>
    <n v="310"/>
    <x v="33"/>
    <s v="Merchant_010"/>
    <d v="2026-01-13T18:02:00"/>
    <x v="2"/>
    <s v="Card"/>
    <x v="0"/>
    <n v="86"/>
    <d v="2026-01-13T00:00:00"/>
    <n v="1499"/>
    <s v="West"/>
    <s v=""/>
  </r>
  <r>
    <x v="295"/>
    <n v="228"/>
    <x v="31"/>
    <s v="Merchant_005"/>
    <d v="2026-01-15T11:23:00"/>
    <x v="1"/>
    <s v="UPI"/>
    <x v="0"/>
    <n v="73"/>
    <d v="2026-01-15T00:00:00"/>
    <n v="548"/>
    <s v="South"/>
    <s v=""/>
  </r>
  <r>
    <x v="296"/>
    <n v="204"/>
    <x v="17"/>
    <s v="Merchant_021"/>
    <d v="2026-01-05T16:23:00"/>
    <x v="7"/>
    <s v="UPI"/>
    <x v="0"/>
    <n v="83"/>
    <d v="2026-01-05T00:00:00"/>
    <n v="499"/>
    <s v="East"/>
    <s v=""/>
  </r>
  <r>
    <x v="297"/>
    <n v="14"/>
    <x v="8"/>
    <s v="Merchant_012"/>
    <d v="2026-01-09T07:07:00"/>
    <x v="4"/>
    <s v="Netbanking"/>
    <x v="0"/>
    <n v="63"/>
    <d v="2026-01-09T00:00:00"/>
    <n v="799"/>
    <s v="East"/>
    <s v=""/>
  </r>
  <r>
    <x v="298"/>
    <n v="288"/>
    <x v="30"/>
    <s v="Merchant_008"/>
    <d v="2026-01-17T12:58:00"/>
    <x v="1"/>
    <s v="UPI"/>
    <x v="0"/>
    <n v="33"/>
    <d v="2026-01-17T00:00:00"/>
    <n v="348"/>
    <s v="North"/>
    <s v=""/>
  </r>
  <r>
    <x v="299"/>
    <n v="229"/>
    <x v="16"/>
    <s v="Merchant_014"/>
    <d v="2026-01-25T08:45:00"/>
    <x v="2"/>
    <s v="UPI"/>
    <x v="0"/>
    <n v="78"/>
    <d v="2026-01-25T00:00:00"/>
    <n v="1598"/>
    <s v="East"/>
    <s v=""/>
  </r>
  <r>
    <x v="300"/>
    <n v="89"/>
    <x v="26"/>
    <s v="Merchant_029"/>
    <d v="2026-01-05T02:28:00"/>
    <x v="4"/>
    <s v="UPI"/>
    <x v="0"/>
    <n v="11"/>
    <d v="2026-01-05T00:00:00"/>
    <n v="799"/>
    <s v="North"/>
    <s v=""/>
  </r>
  <r>
    <x v="301"/>
    <n v="164"/>
    <x v="4"/>
    <s v="Merchant_023"/>
    <d v="2026-01-26T21:54:00"/>
    <x v="1"/>
    <s v="Netbanking"/>
    <x v="0"/>
    <n v="90"/>
    <d v="2026-01-26T00:00:00"/>
    <n v="49"/>
    <s v="North"/>
    <s v=""/>
  </r>
  <r>
    <x v="302"/>
    <n v="149"/>
    <x v="15"/>
    <s v="Merchant_020"/>
    <d v="2026-01-03T17:34:00"/>
    <x v="5"/>
    <s v="Wallet"/>
    <x v="0"/>
    <n v="20"/>
    <d v="2026-01-03T00:00:00"/>
    <n v="299"/>
    <s v="East"/>
    <s v=""/>
  </r>
  <r>
    <x v="303"/>
    <n v="327"/>
    <x v="8"/>
    <s v="Merchant_012"/>
    <d v="2026-01-23T22:59:00"/>
    <x v="1"/>
    <s v="Netbanking"/>
    <x v="0"/>
    <n v="46"/>
    <d v="2026-01-23T00:00:00"/>
    <n v="448"/>
    <s v="East"/>
    <s v=""/>
  </r>
  <r>
    <x v="304"/>
    <n v="103"/>
    <x v="39"/>
    <s v="Merchant_009"/>
    <d v="2026-01-17T07:07:00"/>
    <x v="8"/>
    <s v="UPI"/>
    <x v="0"/>
    <n v="30"/>
    <d v="2026-01-17T00:00:00"/>
    <n v="248"/>
    <s v="North"/>
    <s v=""/>
  </r>
  <r>
    <x v="305"/>
    <n v="185"/>
    <x v="25"/>
    <s v="Merchant_036"/>
    <d v="2026-01-26T15:01:00"/>
    <x v="1"/>
    <s v="Wallet"/>
    <x v="0"/>
    <n v="73"/>
    <d v="2026-01-26T00:00:00"/>
    <n v="198"/>
    <s v="East"/>
    <s v=""/>
  </r>
  <r>
    <x v="306"/>
    <n v="283"/>
    <x v="39"/>
    <s v="Merchant_009"/>
    <d v="2026-01-12T14:51:00"/>
    <x v="5"/>
    <s v="UPI"/>
    <x v="0"/>
    <n v="78"/>
    <d v="2026-01-12T00:00:00"/>
    <n v="299"/>
    <s v="North"/>
    <s v=""/>
  </r>
  <r>
    <x v="307"/>
    <n v="159"/>
    <x v="22"/>
    <s v="Merchant_026"/>
    <d v="2026-01-29T02:04:00"/>
    <x v="3"/>
    <s v="UPI"/>
    <x v="0"/>
    <n v="91"/>
    <d v="2026-01-29T00:00:00"/>
    <n v="148"/>
    <s v="East"/>
    <s v=""/>
  </r>
  <r>
    <x v="308"/>
    <n v="211"/>
    <x v="1"/>
    <s v="Merchant_027"/>
    <d v="2026-01-24T15:33:00"/>
    <x v="3"/>
    <s v="Wallet"/>
    <x v="0"/>
    <n v="73"/>
    <d v="2026-01-24T00:00:00"/>
    <n v="99"/>
    <s v="North"/>
    <s v=""/>
  </r>
  <r>
    <x v="309"/>
    <n v="329"/>
    <x v="31"/>
    <s v="Merchant_005"/>
    <d v="2026-01-03T04:20:00"/>
    <x v="7"/>
    <s v="Netbanking"/>
    <x v="0"/>
    <n v="57"/>
    <d v="2026-01-03T00:00:00"/>
    <n v="499"/>
    <s v="South"/>
    <s v=""/>
  </r>
  <r>
    <x v="310"/>
    <n v="94"/>
    <x v="39"/>
    <s v="Merchant_009"/>
    <d v="2026-01-18T20:37:00"/>
    <x v="5"/>
    <s v="UPI"/>
    <x v="0"/>
    <n v="55"/>
    <d v="2026-01-18T00:00:00"/>
    <n v="299"/>
    <s v="North"/>
    <s v=""/>
  </r>
  <r>
    <x v="311"/>
    <n v="64"/>
    <x v="35"/>
    <s v="Merchant_034"/>
    <d v="2026-01-17T01:53:00"/>
    <x v="5"/>
    <s v="UPI"/>
    <x v="0"/>
    <n v="19"/>
    <d v="2026-01-17T00:00:00"/>
    <n v="299"/>
    <s v="South"/>
    <s v=""/>
  </r>
  <r>
    <x v="312"/>
    <n v="166"/>
    <x v="19"/>
    <s v="Merchant_015"/>
    <d v="2026-01-10T05:10:00"/>
    <x v="1"/>
    <s v="UPI"/>
    <x v="0"/>
    <n v="44"/>
    <d v="2026-01-10T00:00:00"/>
    <n v="49"/>
    <s v="North"/>
    <s v=""/>
  </r>
  <r>
    <x v="313"/>
    <n v="41"/>
    <x v="28"/>
    <s v="Merchant_017"/>
    <d v="2026-01-17T09:54:00"/>
    <x v="5"/>
    <s v="Wallet"/>
    <x v="0"/>
    <n v="25"/>
    <d v="2026-01-17T00:00:00"/>
    <n v="299"/>
    <s v="North"/>
    <s v=""/>
  </r>
  <r>
    <x v="314"/>
    <n v="65"/>
    <x v="15"/>
    <s v="Merchant_020"/>
    <d v="2026-01-21T17:17:00"/>
    <x v="3"/>
    <s v="Card"/>
    <x v="0"/>
    <n v="78"/>
    <d v="2026-01-21T00:00:00"/>
    <n v="99"/>
    <s v="East"/>
    <s v=""/>
  </r>
  <r>
    <x v="315"/>
    <n v="338"/>
    <x v="12"/>
    <s v="Merchant_040"/>
    <d v="2026-01-19T04:10:00"/>
    <x v="8"/>
    <s v="UPI"/>
    <x v="0"/>
    <n v="92"/>
    <d v="2026-01-19T00:00:00"/>
    <n v="648"/>
    <s v="South"/>
    <s v=""/>
  </r>
  <r>
    <x v="316"/>
    <n v="289"/>
    <x v="11"/>
    <s v="Merchant_003"/>
    <d v="2026-01-29T19:21:00"/>
    <x v="1"/>
    <s v="Netbanking"/>
    <x v="0"/>
    <n v="3"/>
    <d v="2026-01-29T00:00:00"/>
    <n v="49"/>
    <s v="East"/>
    <s v=""/>
  </r>
  <r>
    <x v="317"/>
    <n v="296"/>
    <x v="28"/>
    <s v="Merchant_017"/>
    <d v="2026-01-03T01:41:00"/>
    <x v="3"/>
    <s v="UPI"/>
    <x v="0"/>
    <n v="83"/>
    <d v="2026-01-03T00:00:00"/>
    <n v="99"/>
    <s v="North"/>
    <s v=""/>
  </r>
  <r>
    <x v="318"/>
    <n v="317"/>
    <x v="27"/>
    <s v="Merchant_002"/>
    <d v="2026-01-07T18:26:00"/>
    <x v="7"/>
    <s v="Card"/>
    <x v="0"/>
    <n v="63"/>
    <d v="2026-01-07T00:00:00"/>
    <n v="499"/>
    <s v="West"/>
    <s v=""/>
  </r>
  <r>
    <x v="319"/>
    <n v="149"/>
    <x v="15"/>
    <s v="Merchant_020"/>
    <d v="2026-01-29T20:34:00"/>
    <x v="7"/>
    <s v="Card"/>
    <x v="0"/>
    <n v="61"/>
    <d v="2026-01-29T00:00:00"/>
    <n v="499"/>
    <s v="East"/>
    <s v=""/>
  </r>
  <r>
    <x v="320"/>
    <n v="153"/>
    <x v="24"/>
    <s v="Merchant_030"/>
    <d v="2026-01-08T21:25:00"/>
    <x v="5"/>
    <s v="UPI"/>
    <x v="0"/>
    <n v="9"/>
    <d v="2026-01-08T00:00:00"/>
    <n v="1197"/>
    <s v="West"/>
    <s v=""/>
  </r>
  <r>
    <x v="321"/>
    <n v="226"/>
    <x v="1"/>
    <s v="Merchant_027"/>
    <d v="2026-01-23T01:10:00"/>
    <x v="0"/>
    <s v="UPI"/>
    <x v="2"/>
    <n v="61"/>
    <d v="2026-01-23T00:00:00"/>
    <n v="2999"/>
    <s v="North"/>
    <s v=""/>
  </r>
  <r>
    <x v="322"/>
    <n v="311"/>
    <x v="33"/>
    <s v="Merchant_010"/>
    <d v="2026-01-15T06:21:00"/>
    <x v="0"/>
    <s v="UPI"/>
    <x v="0"/>
    <n v="40"/>
    <d v="2026-01-15T00:00:00"/>
    <n v="2999"/>
    <s v="West"/>
    <s v=""/>
  </r>
  <r>
    <x v="323"/>
    <n v="177"/>
    <x v="22"/>
    <s v="Merchant_026"/>
    <d v="2026-01-28T22:20:00"/>
    <x v="2"/>
    <s v="UPI"/>
    <x v="0"/>
    <n v="16"/>
    <d v="2026-01-28T00:00:00"/>
    <n v="1499"/>
    <s v="East"/>
    <s v=""/>
  </r>
  <r>
    <x v="324"/>
    <n v="288"/>
    <x v="23"/>
    <s v="Merchant_007"/>
    <d v="2026-01-25T11:32:00"/>
    <x v="3"/>
    <s v="Netbanking"/>
    <x v="0"/>
    <n v="40"/>
    <d v="2026-01-25T00:00:00"/>
    <n v="99"/>
    <s v="East"/>
    <s v=""/>
  </r>
  <r>
    <x v="325"/>
    <n v="137"/>
    <x v="26"/>
    <s v="Merchant_029"/>
    <d v="2026-01-08T14:07:00"/>
    <x v="0"/>
    <s v="UPI"/>
    <x v="1"/>
    <n v="31"/>
    <d v="2026-01-08T00:00:00"/>
    <n v="0"/>
    <s v="North"/>
    <s v=""/>
  </r>
  <r>
    <x v="326"/>
    <n v="149"/>
    <x v="14"/>
    <s v="Merchant_025"/>
    <d v="2026-01-05T03:03:00"/>
    <x v="2"/>
    <s v="UPI"/>
    <x v="0"/>
    <n v="78"/>
    <d v="2026-01-05T00:00:00"/>
    <n v="4498"/>
    <s v="South"/>
    <s v=""/>
  </r>
  <r>
    <x v="327"/>
    <n v="82"/>
    <x v="17"/>
    <s v="Merchant_021"/>
    <d v="2026-01-14T07:55:00"/>
    <x v="1"/>
    <s v="Wallet"/>
    <x v="0"/>
    <n v="73"/>
    <d v="2026-01-14T00:00:00"/>
    <n v="49"/>
    <s v="East"/>
    <s v=""/>
  </r>
  <r>
    <x v="328"/>
    <n v="82"/>
    <x v="32"/>
    <s v="Merchant_032"/>
    <d v="2026-01-24T10:12:00"/>
    <x v="1"/>
    <s v="UPI"/>
    <x v="0"/>
    <n v="65"/>
    <d v="2026-01-24T00:00:00"/>
    <n v="49"/>
    <s v="West"/>
    <s v=""/>
  </r>
  <r>
    <x v="329"/>
    <n v="158"/>
    <x v="32"/>
    <s v="Merchant_032"/>
    <d v="2026-01-15T15:56:00"/>
    <x v="3"/>
    <s v="Wallet"/>
    <x v="0"/>
    <n v="2"/>
    <d v="2026-01-15T00:00:00"/>
    <n v="99"/>
    <s v="West"/>
    <s v=""/>
  </r>
  <r>
    <x v="330"/>
    <n v="235"/>
    <x v="0"/>
    <s v="Merchant_016"/>
    <d v="2026-01-03T12:32:00"/>
    <x v="3"/>
    <s v="UPI"/>
    <x v="0"/>
    <n v="27"/>
    <d v="2026-01-03T00:00:00"/>
    <n v="99"/>
    <s v="West"/>
    <s v=""/>
  </r>
  <r>
    <x v="331"/>
    <n v="26"/>
    <x v="13"/>
    <s v="Merchant_019"/>
    <d v="2026-01-19T11:03:00"/>
    <x v="3"/>
    <s v="Wallet"/>
    <x v="0"/>
    <n v="63"/>
    <d v="2026-01-19T00:00:00"/>
    <n v="99"/>
    <s v="North"/>
    <s v=""/>
  </r>
  <r>
    <x v="332"/>
    <n v="241"/>
    <x v="13"/>
    <s v="Merchant_019"/>
    <d v="2026-01-20T20:43:00"/>
    <x v="5"/>
    <s v="UPI"/>
    <x v="0"/>
    <n v="68"/>
    <d v="2026-01-20T00:00:00"/>
    <n v="348"/>
    <s v="North"/>
    <s v=""/>
  </r>
  <r>
    <x v="333"/>
    <n v="69"/>
    <x v="28"/>
    <s v="Merchant_017"/>
    <d v="2026-01-01T03:27:00"/>
    <x v="2"/>
    <s v="UPI"/>
    <x v="0"/>
    <n v="93"/>
    <d v="2026-01-01T00:00:00"/>
    <n v="1499"/>
    <s v="North"/>
    <s v=""/>
  </r>
  <r>
    <x v="334"/>
    <n v="24"/>
    <x v="22"/>
    <s v="Merchant_026"/>
    <d v="2026-01-12T12:23:00"/>
    <x v="5"/>
    <s v="Netbanking"/>
    <x v="0"/>
    <n v="6"/>
    <d v="2026-01-12T00:00:00"/>
    <n v="299"/>
    <s v="East"/>
    <s v=""/>
  </r>
  <r>
    <x v="335"/>
    <n v="231"/>
    <x v="25"/>
    <s v="Merchant_036"/>
    <d v="2026-01-03T12:32:00"/>
    <x v="8"/>
    <s v="UPI"/>
    <x v="0"/>
    <n v="35"/>
    <d v="2026-01-03T00:00:00"/>
    <n v="248"/>
    <s v="East"/>
    <s v=""/>
  </r>
  <r>
    <x v="336"/>
    <n v="313"/>
    <x v="30"/>
    <s v="Merchant_008"/>
    <d v="2026-01-27T19:43:00"/>
    <x v="2"/>
    <s v="Netbanking"/>
    <x v="0"/>
    <n v="16"/>
    <d v="2026-01-27T00:00:00"/>
    <n v="1499"/>
    <s v="North"/>
    <s v=""/>
  </r>
  <r>
    <x v="337"/>
    <n v="174"/>
    <x v="25"/>
    <s v="Merchant_036"/>
    <d v="2026-01-04T12:23:00"/>
    <x v="8"/>
    <s v="UPI"/>
    <x v="0"/>
    <n v="46"/>
    <d v="2026-01-04T00:00:00"/>
    <n v="149"/>
    <s v="East"/>
    <s v=""/>
  </r>
  <r>
    <x v="338"/>
    <n v="309"/>
    <x v="10"/>
    <s v="Merchant_033"/>
    <d v="2026-01-25T04:12:00"/>
    <x v="3"/>
    <s v="UPI"/>
    <x v="0"/>
    <n v="51"/>
    <d v="2026-01-25T00:00:00"/>
    <n v="99"/>
    <s v="East"/>
    <s v=""/>
  </r>
  <r>
    <x v="339"/>
    <n v="20"/>
    <x v="39"/>
    <s v="Merchant_009"/>
    <d v="2026-01-17T01:02:00"/>
    <x v="3"/>
    <s v="UPI"/>
    <x v="0"/>
    <n v="91"/>
    <d v="2026-01-17T00:00:00"/>
    <n v="248"/>
    <s v="North"/>
    <s v=""/>
  </r>
  <r>
    <x v="340"/>
    <n v="234"/>
    <x v="33"/>
    <s v="Merchant_010"/>
    <d v="2026-01-11T15:33:00"/>
    <x v="1"/>
    <s v="UPI"/>
    <x v="0"/>
    <n v="77"/>
    <d v="2026-01-11T00:00:00"/>
    <n v="98"/>
    <s v="West"/>
    <s v=""/>
  </r>
  <r>
    <x v="341"/>
    <n v="168"/>
    <x v="12"/>
    <s v="Merchant_040"/>
    <d v="2026-01-29T16:08:00"/>
    <x v="8"/>
    <s v="UPI"/>
    <x v="2"/>
    <n v="40"/>
    <d v="2026-01-29T00:00:00"/>
    <n v="0"/>
    <s v="South"/>
    <s v=""/>
  </r>
  <r>
    <x v="342"/>
    <n v="154"/>
    <x v="34"/>
    <s v="Merchant_038"/>
    <d v="2026-01-06T12:39:00"/>
    <x v="3"/>
    <s v="Netbanking"/>
    <x v="0"/>
    <n v="43"/>
    <d v="2026-01-06T00:00:00"/>
    <n v="99"/>
    <s v="East"/>
    <s v=""/>
  </r>
  <r>
    <x v="343"/>
    <n v="170"/>
    <x v="30"/>
    <s v="Merchant_008"/>
    <d v="2026-01-16T00:23:00"/>
    <x v="0"/>
    <s v="UPI"/>
    <x v="0"/>
    <n v="53"/>
    <d v="2026-01-16T00:00:00"/>
    <n v="2999"/>
    <s v="North"/>
    <s v=""/>
  </r>
  <r>
    <x v="344"/>
    <n v="323"/>
    <x v="27"/>
    <s v="Merchant_002"/>
    <d v="2026-01-19T09:50:00"/>
    <x v="1"/>
    <s v="Netbanking"/>
    <x v="0"/>
    <n v="76"/>
    <d v="2026-01-19T00:00:00"/>
    <n v="49"/>
    <s v="West"/>
    <s v=""/>
  </r>
  <r>
    <x v="345"/>
    <n v="297"/>
    <x v="21"/>
    <s v="Merchant_037"/>
    <d v="2026-01-16T08:41:00"/>
    <x v="0"/>
    <s v="Wallet"/>
    <x v="0"/>
    <n v="29"/>
    <d v="2026-01-16T00:00:00"/>
    <n v="2999"/>
    <s v="South"/>
    <s v=""/>
  </r>
  <r>
    <x v="346"/>
    <n v="246"/>
    <x v="2"/>
    <s v="Merchant_011"/>
    <d v="2026-01-24T01:37:00"/>
    <x v="5"/>
    <s v="UPI"/>
    <x v="0"/>
    <n v="67"/>
    <d v="2026-01-24T00:00:00"/>
    <n v="1798"/>
    <s v="North"/>
    <s v=""/>
  </r>
  <r>
    <x v="347"/>
    <n v="195"/>
    <x v="33"/>
    <s v="Merchant_010"/>
    <d v="2026-01-21T23:39:00"/>
    <x v="3"/>
    <s v="UPI"/>
    <x v="0"/>
    <n v="87"/>
    <d v="2026-01-21T00:00:00"/>
    <n v="398"/>
    <s v="West"/>
    <s v=""/>
  </r>
  <r>
    <x v="348"/>
    <n v="57"/>
    <x v="5"/>
    <s v="Merchant_013"/>
    <d v="2026-01-08T01:36:00"/>
    <x v="8"/>
    <s v="UPI"/>
    <x v="0"/>
    <n v="2"/>
    <d v="2026-01-08T00:00:00"/>
    <n v="149"/>
    <s v="East"/>
    <s v=""/>
  </r>
  <r>
    <x v="349"/>
    <n v="78"/>
    <x v="1"/>
    <s v="Merchant_027"/>
    <d v="2026-01-15T10:26:00"/>
    <x v="2"/>
    <s v="Netbanking"/>
    <x v="1"/>
    <n v="88"/>
    <d v="2026-01-15T00:00:00"/>
    <n v="0"/>
    <s v="North"/>
    <s v=""/>
  </r>
  <r>
    <x v="350"/>
    <n v="314"/>
    <x v="20"/>
    <s v="Merchant_031"/>
    <d v="2026-01-07T13:32:00"/>
    <x v="1"/>
    <s v="UPI"/>
    <x v="2"/>
    <n v="94"/>
    <d v="2026-01-07T00:00:00"/>
    <n v="0"/>
    <s v="East"/>
    <s v=""/>
  </r>
  <r>
    <x v="351"/>
    <n v="71"/>
    <x v="35"/>
    <s v="Merchant_034"/>
    <d v="2026-01-24T01:45:00"/>
    <x v="7"/>
    <s v="UPI"/>
    <x v="0"/>
    <n v="26"/>
    <d v="2026-01-24T00:00:00"/>
    <n v="548"/>
    <s v="South"/>
    <s v=""/>
  </r>
  <r>
    <x v="352"/>
    <n v="245"/>
    <x v="35"/>
    <s v="Merchant_034"/>
    <d v="2026-01-18T10:42:00"/>
    <x v="3"/>
    <s v="UPI"/>
    <x v="0"/>
    <n v="48"/>
    <d v="2026-01-18T00:00:00"/>
    <n v="148"/>
    <s v="South"/>
    <s v=""/>
  </r>
  <r>
    <x v="353"/>
    <n v="273"/>
    <x v="3"/>
    <s v="Merchant_022"/>
    <d v="2026-01-11T05:29:00"/>
    <x v="5"/>
    <s v="Wallet"/>
    <x v="0"/>
    <n v="69"/>
    <d v="2026-01-11T00:00:00"/>
    <n v="299"/>
    <s v="South"/>
    <s v=""/>
  </r>
  <r>
    <x v="354"/>
    <n v="349"/>
    <x v="28"/>
    <s v="Merchant_017"/>
    <d v="2026-01-12T21:49:00"/>
    <x v="2"/>
    <s v="UPI"/>
    <x v="0"/>
    <n v="78"/>
    <d v="2026-01-12T00:00:00"/>
    <n v="1499"/>
    <s v="North"/>
    <s v=""/>
  </r>
  <r>
    <x v="355"/>
    <n v="143"/>
    <x v="25"/>
    <s v="Merchant_036"/>
    <d v="2026-01-16T06:15:00"/>
    <x v="2"/>
    <s v="Netbanking"/>
    <x v="0"/>
    <n v="38"/>
    <d v="2026-01-16T00:00:00"/>
    <n v="1499"/>
    <s v="East"/>
    <s v=""/>
  </r>
  <r>
    <x v="356"/>
    <n v="148"/>
    <x v="16"/>
    <s v="Merchant_014"/>
    <d v="2026-01-08T09:49:00"/>
    <x v="4"/>
    <s v="Wallet"/>
    <x v="0"/>
    <n v="88"/>
    <d v="2026-01-08T00:00:00"/>
    <n v="799"/>
    <s v="East"/>
    <s v=""/>
  </r>
  <r>
    <x v="357"/>
    <n v="246"/>
    <x v="4"/>
    <s v="Merchant_023"/>
    <d v="2026-01-23T15:20:00"/>
    <x v="1"/>
    <s v="UPI"/>
    <x v="0"/>
    <n v="71"/>
    <d v="2026-01-23T00:00:00"/>
    <n v="247"/>
    <s v="North"/>
    <s v=""/>
  </r>
  <r>
    <x v="358"/>
    <n v="148"/>
    <x v="30"/>
    <s v="Merchant_008"/>
    <d v="2026-01-30T23:17:00"/>
    <x v="3"/>
    <s v="Wallet"/>
    <x v="0"/>
    <n v="73"/>
    <d v="2026-01-30T00:00:00"/>
    <n v="99"/>
    <s v="North"/>
    <s v=""/>
  </r>
  <r>
    <x v="359"/>
    <n v="203"/>
    <x v="4"/>
    <s v="Merchant_023"/>
    <d v="2026-01-22T17:24:00"/>
    <x v="1"/>
    <s v="UPI"/>
    <x v="0"/>
    <n v="98"/>
    <d v="2026-01-22T00:00:00"/>
    <n v="49"/>
    <s v="North"/>
    <s v=""/>
  </r>
  <r>
    <x v="360"/>
    <n v="22"/>
    <x v="13"/>
    <s v="Merchant_019"/>
    <d v="2026-01-26T04:18:00"/>
    <x v="1"/>
    <s v="Card"/>
    <x v="0"/>
    <n v="91"/>
    <d v="2026-01-26T00:00:00"/>
    <n v="49"/>
    <s v="North"/>
    <s v=""/>
  </r>
  <r>
    <x v="361"/>
    <n v="276"/>
    <x v="6"/>
    <s v="Merchant_018"/>
    <d v="2026-01-16T06:12:00"/>
    <x v="15"/>
    <s v="Wallet"/>
    <x v="0"/>
    <n v="71"/>
    <d v="2026-01-16T00:00:00"/>
    <n v="3248"/>
    <s v="West"/>
    <s v=""/>
  </r>
  <r>
    <x v="362"/>
    <n v="56"/>
    <x v="12"/>
    <s v="Merchant_040"/>
    <d v="2026-01-23T08:08:00"/>
    <x v="3"/>
    <s v="Card"/>
    <x v="0"/>
    <n v="94"/>
    <d v="2026-01-23T00:00:00"/>
    <n v="99"/>
    <s v="South"/>
    <s v=""/>
  </r>
  <r>
    <x v="363"/>
    <n v="26"/>
    <x v="35"/>
    <s v="Merchant_034"/>
    <d v="2026-01-19T07:15:00"/>
    <x v="7"/>
    <s v="Card"/>
    <x v="0"/>
    <n v="28"/>
    <d v="2026-01-19T00:00:00"/>
    <n v="499"/>
    <s v="South"/>
    <s v=""/>
  </r>
  <r>
    <x v="364"/>
    <n v="52"/>
    <x v="1"/>
    <s v="Merchant_027"/>
    <d v="2026-01-21T07:03:00"/>
    <x v="16"/>
    <s v="Card"/>
    <x v="0"/>
    <n v="42"/>
    <d v="2026-01-21T00:00:00"/>
    <n v="549"/>
    <s v="North"/>
    <s v=""/>
  </r>
  <r>
    <x v="365"/>
    <n v="349"/>
    <x v="39"/>
    <s v="Merchant_009"/>
    <d v="2026-01-23T15:06:00"/>
    <x v="7"/>
    <s v="Wallet"/>
    <x v="0"/>
    <n v="0"/>
    <d v="2026-01-23T00:00:00"/>
    <n v="499"/>
    <s v="North"/>
    <s v=""/>
  </r>
  <r>
    <x v="366"/>
    <n v="335"/>
    <x v="20"/>
    <s v="Merchant_031"/>
    <d v="2026-01-18T05:26:00"/>
    <x v="1"/>
    <s v="Card"/>
    <x v="0"/>
    <n v="61"/>
    <d v="2026-01-18T00:00:00"/>
    <n v="49"/>
    <s v="East"/>
    <s v=""/>
  </r>
  <r>
    <x v="367"/>
    <n v="148"/>
    <x v="17"/>
    <s v="Merchant_021"/>
    <d v="2026-01-21T06:48:00"/>
    <x v="1"/>
    <s v="Card"/>
    <x v="0"/>
    <n v="36"/>
    <d v="2026-01-21T00:00:00"/>
    <n v="49"/>
    <s v="East"/>
    <s v=""/>
  </r>
  <r>
    <x v="368"/>
    <n v="46"/>
    <x v="21"/>
    <s v="Merchant_037"/>
    <d v="2026-01-21T01:58:00"/>
    <x v="3"/>
    <s v="Wallet"/>
    <x v="0"/>
    <n v="29"/>
    <d v="2026-01-21T00:00:00"/>
    <n v="99"/>
    <s v="South"/>
    <s v=""/>
  </r>
  <r>
    <x v="369"/>
    <n v="20"/>
    <x v="8"/>
    <s v="Merchant_012"/>
    <d v="2026-01-18T23:46:00"/>
    <x v="4"/>
    <s v="Card"/>
    <x v="0"/>
    <n v="53"/>
    <d v="2026-01-18T00:00:00"/>
    <n v="799"/>
    <s v="East"/>
    <s v=""/>
  </r>
  <r>
    <x v="370"/>
    <n v="19"/>
    <x v="22"/>
    <s v="Merchant_026"/>
    <d v="2026-01-29T05:59:00"/>
    <x v="1"/>
    <s v="UPI"/>
    <x v="0"/>
    <n v="100"/>
    <d v="2026-01-29T00:00:00"/>
    <n v="148"/>
    <s v="East"/>
    <s v=""/>
  </r>
  <r>
    <x v="371"/>
    <n v="55"/>
    <x v="3"/>
    <s v="Merchant_022"/>
    <d v="2026-01-10T18:38:00"/>
    <x v="7"/>
    <s v="UPI"/>
    <x v="0"/>
    <n v="36"/>
    <d v="2026-01-10T00:00:00"/>
    <n v="499"/>
    <s v="South"/>
    <s v=""/>
  </r>
  <r>
    <x v="372"/>
    <n v="269"/>
    <x v="32"/>
    <s v="Merchant_032"/>
    <d v="2026-01-15T20:34:00"/>
    <x v="1"/>
    <s v="Card"/>
    <x v="1"/>
    <n v="17"/>
    <d v="2026-01-15T00:00:00"/>
    <n v="99"/>
    <s v="West"/>
    <s v=""/>
  </r>
  <r>
    <x v="373"/>
    <n v="140"/>
    <x v="5"/>
    <s v="Merchant_013"/>
    <d v="2026-01-28T16:29:00"/>
    <x v="17"/>
    <s v="UPI"/>
    <x v="0"/>
    <n v="14"/>
    <d v="2026-01-28T00:00:00"/>
    <n v="3099"/>
    <s v="East"/>
    <s v=""/>
  </r>
  <r>
    <x v="374"/>
    <n v="235"/>
    <x v="28"/>
    <s v="Merchant_017"/>
    <d v="2026-01-11T05:46:00"/>
    <x v="0"/>
    <s v="UPI"/>
    <x v="0"/>
    <n v="91"/>
    <d v="2026-01-11T00:00:00"/>
    <n v="7998"/>
    <s v="North"/>
    <s v="High-Value Merchant Day"/>
  </r>
  <r>
    <x v="375"/>
    <n v="313"/>
    <x v="22"/>
    <s v="Merchant_026"/>
    <d v="2026-01-22T06:11:00"/>
    <x v="7"/>
    <s v="UPI"/>
    <x v="0"/>
    <n v="54"/>
    <d v="2026-01-22T00:00:00"/>
    <n v="499"/>
    <s v="East"/>
    <s v=""/>
  </r>
  <r>
    <x v="376"/>
    <n v="206"/>
    <x v="23"/>
    <s v="Merchant_007"/>
    <d v="2026-01-17T10:05:00"/>
    <x v="8"/>
    <s v="Wallet"/>
    <x v="0"/>
    <n v="23"/>
    <d v="2026-01-17T00:00:00"/>
    <n v="149"/>
    <s v="East"/>
    <s v=""/>
  </r>
  <r>
    <x v="377"/>
    <n v="128"/>
    <x v="36"/>
    <s v="Merchant_001"/>
    <d v="2026-01-05T15:20:00"/>
    <x v="2"/>
    <s v="Netbanking"/>
    <x v="0"/>
    <n v="33"/>
    <d v="2026-01-05T00:00:00"/>
    <n v="1499"/>
    <s v="South"/>
    <s v=""/>
  </r>
  <r>
    <x v="378"/>
    <n v="137"/>
    <x v="3"/>
    <s v="Merchant_022"/>
    <d v="2026-01-13T07:28:00"/>
    <x v="4"/>
    <s v="UPI"/>
    <x v="1"/>
    <n v="38"/>
    <d v="2026-01-13T00:00:00"/>
    <n v="4999"/>
    <s v="South"/>
    <s v=""/>
  </r>
  <r>
    <x v="379"/>
    <n v="6"/>
    <x v="28"/>
    <s v="Merchant_017"/>
    <d v="2026-01-19T23:36:00"/>
    <x v="1"/>
    <s v="UPI"/>
    <x v="0"/>
    <n v="83"/>
    <d v="2026-01-19T00:00:00"/>
    <n v="49"/>
    <s v="North"/>
    <s v=""/>
  </r>
  <r>
    <x v="380"/>
    <n v="32"/>
    <x v="30"/>
    <s v="Merchant_008"/>
    <d v="2026-01-12T22:15:00"/>
    <x v="5"/>
    <s v="Card"/>
    <x v="0"/>
    <n v="59"/>
    <d v="2026-01-12T00:00:00"/>
    <n v="398"/>
    <s v="North"/>
    <s v=""/>
  </r>
  <r>
    <x v="381"/>
    <n v="258"/>
    <x v="15"/>
    <s v="Merchant_020"/>
    <d v="2026-01-10T05:25:00"/>
    <x v="8"/>
    <s v="UPI"/>
    <x v="0"/>
    <n v="88"/>
    <d v="2026-01-10T00:00:00"/>
    <n v="149"/>
    <s v="East"/>
    <s v=""/>
  </r>
  <r>
    <x v="382"/>
    <n v="152"/>
    <x v="38"/>
    <s v="Merchant_024"/>
    <d v="2026-01-04T20:58:00"/>
    <x v="8"/>
    <s v="UPI"/>
    <x v="2"/>
    <n v="78"/>
    <d v="2026-01-04T00:00:00"/>
    <n v="0"/>
    <s v="North"/>
    <s v=""/>
  </r>
  <r>
    <x v="383"/>
    <n v="245"/>
    <x v="33"/>
    <s v="Merchant_010"/>
    <d v="2026-01-08T07:08:00"/>
    <x v="4"/>
    <s v="Wallet"/>
    <x v="0"/>
    <n v="58"/>
    <d v="2026-01-08T00:00:00"/>
    <n v="799"/>
    <s v="West"/>
    <s v=""/>
  </r>
  <r>
    <x v="384"/>
    <n v="213"/>
    <x v="25"/>
    <s v="Merchant_036"/>
    <d v="2026-01-24T19:23:00"/>
    <x v="1"/>
    <s v="Wallet"/>
    <x v="0"/>
    <n v="60"/>
    <d v="2026-01-24T00:00:00"/>
    <n v="1647"/>
    <s v="East"/>
    <s v=""/>
  </r>
  <r>
    <x v="385"/>
    <n v="341"/>
    <x v="16"/>
    <s v="Merchant_014"/>
    <d v="2026-01-25T17:51:00"/>
    <x v="3"/>
    <s v="Netbanking"/>
    <x v="0"/>
    <n v="97"/>
    <d v="2026-01-25T00:00:00"/>
    <n v="1598"/>
    <s v="East"/>
    <s v=""/>
  </r>
  <r>
    <x v="386"/>
    <n v="306"/>
    <x v="18"/>
    <s v="Merchant_006"/>
    <d v="2026-01-08T21:48:00"/>
    <x v="8"/>
    <s v="Netbanking"/>
    <x v="0"/>
    <n v="67"/>
    <d v="2026-01-08T00:00:00"/>
    <n v="149"/>
    <s v="South"/>
    <s v=""/>
  </r>
  <r>
    <x v="387"/>
    <n v="186"/>
    <x v="31"/>
    <s v="Merchant_005"/>
    <d v="2026-01-15T16:45:00"/>
    <x v="7"/>
    <s v="UPI"/>
    <x v="0"/>
    <n v="72"/>
    <d v="2026-01-15T00:00:00"/>
    <n v="548"/>
    <s v="South"/>
    <s v=""/>
  </r>
  <r>
    <x v="388"/>
    <n v="281"/>
    <x v="10"/>
    <s v="Merchant_033"/>
    <d v="2026-01-04T01:53:00"/>
    <x v="10"/>
    <s v="UPI"/>
    <x v="0"/>
    <n v="25"/>
    <d v="2026-01-04T00:00:00"/>
    <n v="4999"/>
    <s v="East"/>
    <s v=""/>
  </r>
  <r>
    <x v="389"/>
    <n v="85"/>
    <x v="17"/>
    <s v="Merchant_021"/>
    <d v="2026-01-19T17:09:00"/>
    <x v="3"/>
    <s v="UPI"/>
    <x v="0"/>
    <n v="66"/>
    <d v="2026-01-19T00:00:00"/>
    <n v="99"/>
    <s v="East"/>
    <s v=""/>
  </r>
  <r>
    <x v="390"/>
    <n v="106"/>
    <x v="34"/>
    <s v="Merchant_038"/>
    <d v="2026-01-15T03:43:00"/>
    <x v="7"/>
    <s v="UPI"/>
    <x v="0"/>
    <n v="62"/>
    <d v="2026-01-15T00:00:00"/>
    <n v="499"/>
    <s v="East"/>
    <s v=""/>
  </r>
  <r>
    <x v="391"/>
    <n v="29"/>
    <x v="24"/>
    <s v="Merchant_030"/>
    <d v="2026-01-03T16:28:00"/>
    <x v="8"/>
    <s v="Netbanking"/>
    <x v="0"/>
    <n v="16"/>
    <d v="2026-01-03T00:00:00"/>
    <n v="149"/>
    <s v="West"/>
    <s v=""/>
  </r>
  <r>
    <x v="392"/>
    <n v="289"/>
    <x v="29"/>
    <s v="Merchant_004"/>
    <d v="2026-01-17T13:29:00"/>
    <x v="2"/>
    <s v="Card"/>
    <x v="0"/>
    <n v="71"/>
    <d v="2026-01-17T00:00:00"/>
    <n v="1499"/>
    <s v="East"/>
    <s v=""/>
  </r>
  <r>
    <x v="393"/>
    <n v="158"/>
    <x v="27"/>
    <s v="Merchant_002"/>
    <d v="2026-01-15T21:51:00"/>
    <x v="2"/>
    <s v="Card"/>
    <x v="1"/>
    <n v="50"/>
    <d v="2026-01-15T00:00:00"/>
    <n v="0"/>
    <s v="West"/>
    <s v=""/>
  </r>
  <r>
    <x v="394"/>
    <n v="112"/>
    <x v="34"/>
    <s v="Merchant_038"/>
    <d v="2026-01-09T00:47:00"/>
    <x v="1"/>
    <s v="UPI"/>
    <x v="0"/>
    <n v="9"/>
    <d v="2026-01-09T00:00:00"/>
    <n v="49"/>
    <s v="East"/>
    <s v=""/>
  </r>
  <r>
    <x v="395"/>
    <n v="33"/>
    <x v="7"/>
    <s v="Merchant_035"/>
    <d v="2026-01-02T13:22:00"/>
    <x v="5"/>
    <s v="Card"/>
    <x v="1"/>
    <n v="7"/>
    <d v="2026-01-02T00:00:00"/>
    <n v="1548"/>
    <s v="East"/>
    <s v=""/>
  </r>
  <r>
    <x v="396"/>
    <n v="242"/>
    <x v="11"/>
    <s v="Merchant_003"/>
    <d v="2026-01-30T02:59:00"/>
    <x v="1"/>
    <s v="UPI"/>
    <x v="0"/>
    <n v="36"/>
    <d v="2026-01-30T00:00:00"/>
    <n v="49"/>
    <s v="East"/>
    <s v=""/>
  </r>
  <r>
    <x v="397"/>
    <n v="70"/>
    <x v="1"/>
    <s v="Merchant_027"/>
    <d v="2026-01-14T05:49:00"/>
    <x v="8"/>
    <s v="UPI"/>
    <x v="0"/>
    <n v="47"/>
    <d v="2026-01-14T00:00:00"/>
    <n v="149"/>
    <s v="North"/>
    <s v=""/>
  </r>
  <r>
    <x v="398"/>
    <n v="194"/>
    <x v="14"/>
    <s v="Merchant_025"/>
    <d v="2026-01-29T12:28:00"/>
    <x v="1"/>
    <s v="Wallet"/>
    <x v="0"/>
    <n v="10"/>
    <d v="2026-01-29T00:00:00"/>
    <n v="49"/>
    <s v="South"/>
    <s v=""/>
  </r>
  <r>
    <x v="399"/>
    <n v="277"/>
    <x v="39"/>
    <s v="Merchant_009"/>
    <d v="2026-01-22T21:55:00"/>
    <x v="4"/>
    <s v="UPI"/>
    <x v="0"/>
    <n v="83"/>
    <d v="2026-01-22T00:00:00"/>
    <n v="799"/>
    <s v="North"/>
    <s v=""/>
  </r>
  <r>
    <x v="400"/>
    <n v="92"/>
    <x v="7"/>
    <s v="Merchant_035"/>
    <d v="2026-01-28T11:07:00"/>
    <x v="1"/>
    <s v="UPI"/>
    <x v="0"/>
    <n v="50"/>
    <d v="2026-01-28T00:00:00"/>
    <n v="49"/>
    <s v="East"/>
    <s v=""/>
  </r>
  <r>
    <x v="401"/>
    <n v="115"/>
    <x v="36"/>
    <s v="Merchant_001"/>
    <d v="2026-01-17T04:46:00"/>
    <x v="8"/>
    <s v="Wallet"/>
    <x v="0"/>
    <n v="96"/>
    <d v="2026-01-17T00:00:00"/>
    <n v="149"/>
    <s v="South"/>
    <s v=""/>
  </r>
  <r>
    <x v="402"/>
    <n v="345"/>
    <x v="7"/>
    <s v="Merchant_035"/>
    <d v="2026-01-01T09:29:00"/>
    <x v="7"/>
    <s v="Card"/>
    <x v="0"/>
    <n v="54"/>
    <d v="2026-01-01T00:00:00"/>
    <n v="499"/>
    <s v="East"/>
    <s v=""/>
  </r>
  <r>
    <x v="403"/>
    <n v="118"/>
    <x v="0"/>
    <s v="Merchant_016"/>
    <d v="2026-01-18T12:52:00"/>
    <x v="1"/>
    <s v="UPI"/>
    <x v="0"/>
    <n v="58"/>
    <d v="2026-01-18T00:00:00"/>
    <n v="49"/>
    <s v="West"/>
    <s v=""/>
  </r>
  <r>
    <x v="404"/>
    <n v="97"/>
    <x v="30"/>
    <s v="Merchant_008"/>
    <d v="2026-01-12T04:17:00"/>
    <x v="3"/>
    <s v="Netbanking"/>
    <x v="0"/>
    <n v="4"/>
    <d v="2026-01-12T00:00:00"/>
    <n v="398"/>
    <s v="North"/>
    <s v=""/>
  </r>
  <r>
    <x v="405"/>
    <n v="315"/>
    <x v="27"/>
    <s v="Merchant_002"/>
    <d v="2026-01-26T21:26:00"/>
    <x v="5"/>
    <s v="Wallet"/>
    <x v="0"/>
    <n v="30"/>
    <d v="2026-01-26T00:00:00"/>
    <n v="299"/>
    <s v="West"/>
    <s v=""/>
  </r>
  <r>
    <x v="406"/>
    <n v="305"/>
    <x v="11"/>
    <s v="Merchant_003"/>
    <d v="2026-01-07T02:06:00"/>
    <x v="5"/>
    <s v="UPI"/>
    <x v="0"/>
    <n v="57"/>
    <d v="2026-01-07T00:00:00"/>
    <n v="798"/>
    <s v="East"/>
    <s v=""/>
  </r>
  <r>
    <x v="407"/>
    <n v="25"/>
    <x v="0"/>
    <s v="Merchant_016"/>
    <d v="2026-01-20T21:45:00"/>
    <x v="5"/>
    <s v="UPI"/>
    <x v="0"/>
    <n v="94"/>
    <d v="2026-01-20T00:00:00"/>
    <n v="448"/>
    <s v="West"/>
    <s v=""/>
  </r>
  <r>
    <x v="408"/>
    <n v="120"/>
    <x v="7"/>
    <s v="Merchant_035"/>
    <d v="2026-01-02T12:28:00"/>
    <x v="1"/>
    <s v="UPI"/>
    <x v="0"/>
    <n v="27"/>
    <d v="2026-01-02T00:00:00"/>
    <n v="1548"/>
    <s v="East"/>
    <s v=""/>
  </r>
  <r>
    <x v="409"/>
    <n v="258"/>
    <x v="13"/>
    <s v="Merchant_019"/>
    <d v="2026-01-25T01:08:00"/>
    <x v="1"/>
    <s v="Wallet"/>
    <x v="0"/>
    <n v="29"/>
    <d v="2026-01-25T00:00:00"/>
    <n v="49"/>
    <s v="North"/>
    <s v=""/>
  </r>
  <r>
    <x v="410"/>
    <n v="164"/>
    <x v="21"/>
    <s v="Merchant_037"/>
    <d v="2026-01-27T23:36:00"/>
    <x v="4"/>
    <s v="UPI"/>
    <x v="0"/>
    <n v="76"/>
    <d v="2026-01-27T00:00:00"/>
    <n v="799"/>
    <s v="South"/>
    <s v=""/>
  </r>
  <r>
    <x v="411"/>
    <n v="165"/>
    <x v="0"/>
    <s v="Merchant_016"/>
    <d v="2026-01-25T21:52:00"/>
    <x v="1"/>
    <s v="Wallet"/>
    <x v="0"/>
    <n v="38"/>
    <d v="2026-01-25T00:00:00"/>
    <n v="49"/>
    <s v="West"/>
    <s v=""/>
  </r>
  <r>
    <x v="412"/>
    <n v="267"/>
    <x v="19"/>
    <s v="Merchant_015"/>
    <d v="2026-01-29T04:42:00"/>
    <x v="1"/>
    <s v="Netbanking"/>
    <x v="0"/>
    <n v="52"/>
    <d v="2026-01-29T00:00:00"/>
    <n v="98"/>
    <s v="North"/>
    <s v=""/>
  </r>
  <r>
    <x v="413"/>
    <n v="286"/>
    <x v="34"/>
    <s v="Merchant_038"/>
    <d v="2026-01-10T08:03:00"/>
    <x v="5"/>
    <s v="Wallet"/>
    <x v="0"/>
    <n v="94"/>
    <d v="2026-01-10T00:00:00"/>
    <n v="398"/>
    <s v="East"/>
    <s v=""/>
  </r>
  <r>
    <x v="414"/>
    <n v="348"/>
    <x v="9"/>
    <s v="Merchant_028"/>
    <d v="2026-01-30T05:40:00"/>
    <x v="7"/>
    <s v="Card"/>
    <x v="0"/>
    <n v="71"/>
    <d v="2026-01-30T00:00:00"/>
    <n v="499"/>
    <s v="South"/>
    <s v=""/>
  </r>
  <r>
    <x v="415"/>
    <n v="330"/>
    <x v="14"/>
    <s v="Merchant_025"/>
    <d v="2026-01-16T01:22:00"/>
    <x v="4"/>
    <s v="UPI"/>
    <x v="0"/>
    <n v="100"/>
    <d v="2026-01-16T00:00:00"/>
    <n v="799"/>
    <s v="South"/>
    <s v=""/>
  </r>
  <r>
    <x v="416"/>
    <n v="214"/>
    <x v="1"/>
    <s v="Merchant_027"/>
    <d v="2026-01-17T10:44:00"/>
    <x v="5"/>
    <s v="Card"/>
    <x v="0"/>
    <n v="19"/>
    <d v="2026-01-17T00:00:00"/>
    <n v="798"/>
    <s v="North"/>
    <s v=""/>
  </r>
  <r>
    <x v="417"/>
    <n v="276"/>
    <x v="20"/>
    <s v="Merchant_031"/>
    <d v="2026-01-10T12:11:00"/>
    <x v="7"/>
    <s v="UPI"/>
    <x v="0"/>
    <n v="30"/>
    <d v="2026-01-10T00:00:00"/>
    <n v="499"/>
    <s v="East"/>
    <s v=""/>
  </r>
  <r>
    <x v="418"/>
    <n v="74"/>
    <x v="24"/>
    <s v="Merchant_030"/>
    <d v="2026-01-28T07:19:00"/>
    <x v="1"/>
    <s v="UPI"/>
    <x v="0"/>
    <n v="7"/>
    <d v="2026-01-28T00:00:00"/>
    <n v="49"/>
    <s v="West"/>
    <s v=""/>
  </r>
  <r>
    <x v="419"/>
    <n v="286"/>
    <x v="35"/>
    <s v="Merchant_034"/>
    <d v="2026-01-18T13:26:00"/>
    <x v="1"/>
    <s v="Card"/>
    <x v="0"/>
    <n v="17"/>
    <d v="2026-01-18T00:00:00"/>
    <n v="148"/>
    <s v="South"/>
    <s v=""/>
  </r>
  <r>
    <x v="420"/>
    <n v="105"/>
    <x v="3"/>
    <s v="Merchant_022"/>
    <d v="2026-01-13T07:16:00"/>
    <x v="10"/>
    <s v="UPI"/>
    <x v="0"/>
    <n v="82"/>
    <d v="2026-01-13T00:00:00"/>
    <n v="4999"/>
    <s v="South"/>
    <s v=""/>
  </r>
  <r>
    <x v="421"/>
    <n v="190"/>
    <x v="18"/>
    <s v="Merchant_006"/>
    <d v="2026-01-03T14:54:00"/>
    <x v="4"/>
    <s v="Wallet"/>
    <x v="0"/>
    <n v="68"/>
    <d v="2026-01-03T00:00:00"/>
    <n v="799"/>
    <s v="South"/>
    <s v=""/>
  </r>
  <r>
    <x v="422"/>
    <n v="138"/>
    <x v="14"/>
    <s v="Merchant_025"/>
    <d v="2026-01-24T06:03:00"/>
    <x v="5"/>
    <s v="Wallet"/>
    <x v="0"/>
    <n v="86"/>
    <d v="2026-01-24T00:00:00"/>
    <n v="497"/>
    <s v="South"/>
    <s v=""/>
  </r>
  <r>
    <x v="423"/>
    <n v="38"/>
    <x v="5"/>
    <s v="Merchant_013"/>
    <d v="2026-01-20T19:02:00"/>
    <x v="10"/>
    <s v="Netbanking"/>
    <x v="0"/>
    <n v="97"/>
    <d v="2026-01-20T00:00:00"/>
    <n v="4999"/>
    <s v="East"/>
    <s v=""/>
  </r>
  <r>
    <x v="424"/>
    <n v="287"/>
    <x v="16"/>
    <s v="Merchant_014"/>
    <d v="2026-01-19T23:42:00"/>
    <x v="3"/>
    <s v="Wallet"/>
    <x v="0"/>
    <n v="61"/>
    <d v="2026-01-19T00:00:00"/>
    <n v="99"/>
    <s v="East"/>
    <s v=""/>
  </r>
  <r>
    <x v="425"/>
    <n v="8"/>
    <x v="16"/>
    <s v="Merchant_014"/>
    <d v="2026-01-07T10:19:00"/>
    <x v="1"/>
    <s v="UPI"/>
    <x v="0"/>
    <n v="24"/>
    <d v="2026-01-07T00:00:00"/>
    <n v="49"/>
    <s v="East"/>
    <s v=""/>
  </r>
  <r>
    <x v="426"/>
    <n v="246"/>
    <x v="0"/>
    <s v="Merchant_016"/>
    <d v="2026-01-24T03:47:00"/>
    <x v="2"/>
    <s v="Wallet"/>
    <x v="0"/>
    <n v="89"/>
    <d v="2026-01-24T00:00:00"/>
    <n v="1499"/>
    <s v="West"/>
    <s v=""/>
  </r>
  <r>
    <x v="427"/>
    <n v="204"/>
    <x v="0"/>
    <s v="Merchant_016"/>
    <d v="2026-01-20T22:13:00"/>
    <x v="8"/>
    <s v="UPI"/>
    <x v="0"/>
    <n v="70"/>
    <d v="2026-01-20T00:00:00"/>
    <n v="448"/>
    <s v="West"/>
    <s v=""/>
  </r>
  <r>
    <x v="428"/>
    <n v="239"/>
    <x v="7"/>
    <s v="Merchant_035"/>
    <d v="2026-01-11T09:24:00"/>
    <x v="10"/>
    <s v="UPI"/>
    <x v="0"/>
    <n v="83"/>
    <d v="2026-01-11T00:00:00"/>
    <n v="4999"/>
    <s v="East"/>
    <s v=""/>
  </r>
  <r>
    <x v="429"/>
    <n v="185"/>
    <x v="10"/>
    <s v="Merchant_033"/>
    <d v="2026-01-12T09:16:00"/>
    <x v="5"/>
    <s v="UPI"/>
    <x v="0"/>
    <n v="63"/>
    <d v="2026-01-12T00:00:00"/>
    <n v="299"/>
    <s v="East"/>
    <s v=""/>
  </r>
  <r>
    <x v="430"/>
    <n v="241"/>
    <x v="17"/>
    <s v="Merchant_021"/>
    <d v="2026-01-15T03:51:00"/>
    <x v="5"/>
    <s v="Card"/>
    <x v="0"/>
    <n v="26"/>
    <d v="2026-01-15T00:00:00"/>
    <n v="299"/>
    <s v="East"/>
    <s v=""/>
  </r>
  <r>
    <x v="431"/>
    <n v="24"/>
    <x v="21"/>
    <s v="Merchant_037"/>
    <d v="2026-01-12T10:26:00"/>
    <x v="8"/>
    <s v="UPI"/>
    <x v="0"/>
    <n v="28"/>
    <d v="2026-01-12T00:00:00"/>
    <n v="149"/>
    <s v="South"/>
    <s v=""/>
  </r>
  <r>
    <x v="432"/>
    <n v="134"/>
    <x v="25"/>
    <s v="Merchant_036"/>
    <d v="2026-01-24T04:01:00"/>
    <x v="2"/>
    <s v="UPI"/>
    <x v="0"/>
    <n v="74"/>
    <d v="2026-01-24T00:00:00"/>
    <n v="1647"/>
    <s v="East"/>
    <s v=""/>
  </r>
  <r>
    <x v="433"/>
    <n v="152"/>
    <x v="33"/>
    <s v="Merchant_010"/>
    <d v="2026-01-19T23:26:00"/>
    <x v="7"/>
    <s v="Wallet"/>
    <x v="0"/>
    <n v="25"/>
    <d v="2026-01-19T00:00:00"/>
    <n v="499"/>
    <s v="West"/>
    <s v=""/>
  </r>
  <r>
    <x v="434"/>
    <n v="292"/>
    <x v="0"/>
    <s v="Merchant_016"/>
    <d v="2026-01-11T07:24:00"/>
    <x v="7"/>
    <s v="Netbanking"/>
    <x v="0"/>
    <n v="63"/>
    <d v="2026-01-11T00:00:00"/>
    <n v="499"/>
    <s v="West"/>
    <s v=""/>
  </r>
  <r>
    <x v="435"/>
    <n v="173"/>
    <x v="28"/>
    <s v="Merchant_017"/>
    <d v="2026-01-18T20:43:00"/>
    <x v="3"/>
    <s v="Netbanking"/>
    <x v="0"/>
    <n v="97"/>
    <d v="2026-01-18T00:00:00"/>
    <n v="198"/>
    <s v="North"/>
    <s v=""/>
  </r>
  <r>
    <x v="436"/>
    <n v="329"/>
    <x v="32"/>
    <s v="Merchant_032"/>
    <d v="2026-01-27T15:46:00"/>
    <x v="2"/>
    <s v="UPI"/>
    <x v="0"/>
    <n v="58"/>
    <d v="2026-01-27T00:00:00"/>
    <n v="1499"/>
    <s v="West"/>
    <s v=""/>
  </r>
  <r>
    <x v="437"/>
    <n v="181"/>
    <x v="2"/>
    <s v="Merchant_011"/>
    <d v="2026-01-06T23:50:00"/>
    <x v="2"/>
    <s v="UPI"/>
    <x v="0"/>
    <n v="17"/>
    <d v="2026-01-06T00:00:00"/>
    <n v="1499"/>
    <s v="North"/>
    <s v=""/>
  </r>
  <r>
    <x v="438"/>
    <n v="95"/>
    <x v="7"/>
    <s v="Merchant_035"/>
    <d v="2026-01-24T17:31:00"/>
    <x v="8"/>
    <s v="Wallet"/>
    <x v="0"/>
    <n v="82"/>
    <d v="2026-01-24T00:00:00"/>
    <n v="149"/>
    <s v="East"/>
    <s v=""/>
  </r>
  <r>
    <x v="439"/>
    <n v="39"/>
    <x v="29"/>
    <s v="Merchant_004"/>
    <d v="2026-01-02T16:02:00"/>
    <x v="8"/>
    <s v="Netbanking"/>
    <x v="0"/>
    <n v="97"/>
    <d v="2026-01-02T00:00:00"/>
    <n v="149"/>
    <s v="East"/>
    <s v=""/>
  </r>
  <r>
    <x v="440"/>
    <n v="323"/>
    <x v="19"/>
    <s v="Merchant_015"/>
    <d v="2026-01-01T13:08:00"/>
    <x v="7"/>
    <s v="UPI"/>
    <x v="0"/>
    <n v="8"/>
    <d v="2026-01-01T00:00:00"/>
    <n v="499"/>
    <s v="North"/>
    <s v=""/>
  </r>
  <r>
    <x v="441"/>
    <n v="112"/>
    <x v="10"/>
    <s v="Merchant_033"/>
    <d v="2026-01-23T04:00:00"/>
    <x v="1"/>
    <s v="Netbanking"/>
    <x v="0"/>
    <n v="58"/>
    <d v="2026-01-23T00:00:00"/>
    <n v="49"/>
    <s v="East"/>
    <s v=""/>
  </r>
  <r>
    <x v="442"/>
    <n v="327"/>
    <x v="12"/>
    <s v="Merchant_040"/>
    <d v="2026-01-12T01:39:00"/>
    <x v="3"/>
    <s v="UPI"/>
    <x v="0"/>
    <n v="61"/>
    <d v="2026-01-12T00:00:00"/>
    <n v="99"/>
    <s v="South"/>
    <s v=""/>
  </r>
  <r>
    <x v="443"/>
    <n v="4"/>
    <x v="7"/>
    <s v="Merchant_035"/>
    <d v="2026-01-22T15:01:00"/>
    <x v="5"/>
    <s v="UPI"/>
    <x v="0"/>
    <n v="70"/>
    <d v="2026-01-22T00:00:00"/>
    <n v="299"/>
    <s v="East"/>
    <s v=""/>
  </r>
  <r>
    <x v="444"/>
    <n v="272"/>
    <x v="6"/>
    <s v="Merchant_018"/>
    <d v="2026-01-14T00:01:00"/>
    <x v="8"/>
    <s v="UPI"/>
    <x v="0"/>
    <n v="68"/>
    <d v="2026-01-14T00:00:00"/>
    <n v="149"/>
    <s v="West"/>
    <s v=""/>
  </r>
  <r>
    <x v="445"/>
    <n v="346"/>
    <x v="9"/>
    <s v="Merchant_028"/>
    <d v="2026-01-10T00:32:00"/>
    <x v="7"/>
    <s v="UPI"/>
    <x v="0"/>
    <n v="22"/>
    <d v="2026-01-10T00:00:00"/>
    <n v="499"/>
    <s v="South"/>
    <s v=""/>
  </r>
  <r>
    <x v="446"/>
    <n v="77"/>
    <x v="0"/>
    <s v="Merchant_016"/>
    <d v="2026-01-04T03:33:00"/>
    <x v="1"/>
    <s v="Wallet"/>
    <x v="0"/>
    <n v="24"/>
    <d v="2026-01-04T00:00:00"/>
    <n v="49"/>
    <s v="West"/>
    <s v=""/>
  </r>
  <r>
    <x v="447"/>
    <n v="182"/>
    <x v="6"/>
    <s v="Merchant_018"/>
    <d v="2026-01-20T16:16:00"/>
    <x v="8"/>
    <s v="Card"/>
    <x v="0"/>
    <n v="50"/>
    <d v="2026-01-20T00:00:00"/>
    <n v="149"/>
    <s v="West"/>
    <s v=""/>
  </r>
  <r>
    <x v="448"/>
    <n v="236"/>
    <x v="21"/>
    <s v="Merchant_037"/>
    <d v="2026-01-03T11:25:00"/>
    <x v="5"/>
    <s v="Card"/>
    <x v="0"/>
    <n v="31"/>
    <d v="2026-01-03T00:00:00"/>
    <n v="299"/>
    <s v="South"/>
    <s v=""/>
  </r>
  <r>
    <x v="449"/>
    <n v="42"/>
    <x v="11"/>
    <s v="Merchant_003"/>
    <d v="2026-01-23T07:19:00"/>
    <x v="1"/>
    <s v="UPI"/>
    <x v="0"/>
    <n v="11"/>
    <d v="2026-01-23T00:00:00"/>
    <n v="49"/>
    <s v="East"/>
    <s v=""/>
  </r>
  <r>
    <x v="450"/>
    <n v="88"/>
    <x v="18"/>
    <s v="Merchant_006"/>
    <d v="2026-01-21T00:44:00"/>
    <x v="1"/>
    <s v="UPI"/>
    <x v="0"/>
    <n v="63"/>
    <d v="2026-01-21T00:00:00"/>
    <n v="49"/>
    <s v="South"/>
    <s v=""/>
  </r>
  <r>
    <x v="451"/>
    <n v="170"/>
    <x v="21"/>
    <s v="Merchant_037"/>
    <d v="2026-01-28T13:41:00"/>
    <x v="3"/>
    <s v="UPI"/>
    <x v="1"/>
    <n v="12"/>
    <d v="2026-01-28T00:00:00"/>
    <n v="99"/>
    <s v="South"/>
    <s v=""/>
  </r>
  <r>
    <x v="452"/>
    <n v="22"/>
    <x v="19"/>
    <s v="Merchant_015"/>
    <d v="2026-01-29T16:58:00"/>
    <x v="1"/>
    <s v="Netbanking"/>
    <x v="0"/>
    <n v="27"/>
    <d v="2026-01-29T00:00:00"/>
    <n v="98"/>
    <s v="North"/>
    <s v=""/>
  </r>
  <r>
    <x v="453"/>
    <n v="144"/>
    <x v="7"/>
    <s v="Merchant_035"/>
    <d v="2026-01-02T02:43:00"/>
    <x v="2"/>
    <s v="UPI"/>
    <x v="0"/>
    <n v="72"/>
    <d v="2026-01-02T00:00:00"/>
    <n v="1548"/>
    <s v="East"/>
    <s v=""/>
  </r>
  <r>
    <x v="454"/>
    <n v="162"/>
    <x v="27"/>
    <s v="Merchant_002"/>
    <d v="2026-01-22T01:11:00"/>
    <x v="5"/>
    <s v="Wallet"/>
    <x v="0"/>
    <n v="26"/>
    <d v="2026-01-22T00:00:00"/>
    <n v="299"/>
    <s v="West"/>
    <s v=""/>
  </r>
  <r>
    <x v="455"/>
    <n v="204"/>
    <x v="31"/>
    <s v="Merchant_005"/>
    <d v="2026-01-19T04:48:00"/>
    <x v="1"/>
    <s v="UPI"/>
    <x v="0"/>
    <n v="38"/>
    <d v="2026-01-19T00:00:00"/>
    <n v="49"/>
    <s v="South"/>
    <s v=""/>
  </r>
  <r>
    <x v="456"/>
    <n v="291"/>
    <x v="14"/>
    <s v="Merchant_025"/>
    <d v="2026-01-06T18:15:00"/>
    <x v="3"/>
    <s v="Wallet"/>
    <x v="0"/>
    <n v="86"/>
    <d v="2026-01-06T00:00:00"/>
    <n v="898"/>
    <s v="South"/>
    <s v=""/>
  </r>
  <r>
    <x v="457"/>
    <n v="197"/>
    <x v="39"/>
    <s v="Merchant_009"/>
    <d v="2026-01-29T17:21:00"/>
    <x v="3"/>
    <s v="Wallet"/>
    <x v="1"/>
    <n v="88"/>
    <d v="2026-01-29T00:00:00"/>
    <n v="0"/>
    <s v="North"/>
    <s v=""/>
  </r>
  <r>
    <x v="458"/>
    <n v="178"/>
    <x v="29"/>
    <s v="Merchant_004"/>
    <d v="2026-01-24T02:32:00"/>
    <x v="2"/>
    <s v="UPI"/>
    <x v="0"/>
    <n v="12"/>
    <d v="2026-01-24T00:00:00"/>
    <n v="1499"/>
    <s v="East"/>
    <s v=""/>
  </r>
  <r>
    <x v="459"/>
    <n v="39"/>
    <x v="3"/>
    <s v="Merchant_022"/>
    <d v="2026-01-14T07:53:00"/>
    <x v="4"/>
    <s v="Netbanking"/>
    <x v="0"/>
    <n v="77"/>
    <d v="2026-01-14T00:00:00"/>
    <n v="799"/>
    <s v="South"/>
    <s v=""/>
  </r>
  <r>
    <x v="460"/>
    <n v="204"/>
    <x v="17"/>
    <s v="Merchant_021"/>
    <d v="2026-01-25T19:38:00"/>
    <x v="5"/>
    <s v="Wallet"/>
    <x v="0"/>
    <n v="3"/>
    <d v="2026-01-25T00:00:00"/>
    <n v="299"/>
    <s v="East"/>
    <s v=""/>
  </r>
  <r>
    <x v="461"/>
    <n v="231"/>
    <x v="32"/>
    <s v="Merchant_032"/>
    <d v="2026-01-21T08:50:00"/>
    <x v="5"/>
    <s v="UPI"/>
    <x v="0"/>
    <n v="29"/>
    <d v="2026-01-21T00:00:00"/>
    <n v="5347"/>
    <s v="West"/>
    <s v="High-Value Merchant Day"/>
  </r>
  <r>
    <x v="462"/>
    <n v="222"/>
    <x v="8"/>
    <s v="Merchant_012"/>
    <d v="2026-01-12T17:24:00"/>
    <x v="7"/>
    <s v="Wallet"/>
    <x v="1"/>
    <n v="87"/>
    <d v="2026-01-12T00:00:00"/>
    <n v="1499"/>
    <s v="East"/>
    <s v=""/>
  </r>
  <r>
    <x v="463"/>
    <n v="44"/>
    <x v="12"/>
    <s v="Merchant_040"/>
    <d v="2026-01-19T21:24:00"/>
    <x v="7"/>
    <s v="UPI"/>
    <x v="0"/>
    <n v="37"/>
    <d v="2026-01-19T00:00:00"/>
    <n v="648"/>
    <s v="South"/>
    <s v=""/>
  </r>
  <r>
    <x v="464"/>
    <n v="38"/>
    <x v="18"/>
    <s v="Merchant_006"/>
    <d v="2026-01-26T07:45:00"/>
    <x v="1"/>
    <s v="Wallet"/>
    <x v="1"/>
    <n v="34"/>
    <d v="2026-01-26T00:00:00"/>
    <n v="49"/>
    <s v="South"/>
    <s v=""/>
  </r>
  <r>
    <x v="465"/>
    <n v="55"/>
    <x v="18"/>
    <s v="Merchant_006"/>
    <d v="2026-01-13T10:23:00"/>
    <x v="2"/>
    <s v="Card"/>
    <x v="0"/>
    <n v="0"/>
    <d v="2026-01-13T00:00:00"/>
    <n v="1499"/>
    <s v="South"/>
    <s v=""/>
  </r>
  <r>
    <x v="466"/>
    <n v="139"/>
    <x v="23"/>
    <s v="Merchant_007"/>
    <d v="2026-01-10T14:23:00"/>
    <x v="7"/>
    <s v="Card"/>
    <x v="0"/>
    <n v="16"/>
    <d v="2026-01-10T00:00:00"/>
    <n v="499"/>
    <s v="East"/>
    <s v=""/>
  </r>
  <r>
    <x v="467"/>
    <n v="230"/>
    <x v="25"/>
    <s v="Merchant_036"/>
    <d v="2026-01-03T05:27:00"/>
    <x v="3"/>
    <s v="Wallet"/>
    <x v="0"/>
    <n v="71"/>
    <d v="2026-01-03T00:00:00"/>
    <n v="248"/>
    <s v="East"/>
    <s v=""/>
  </r>
  <r>
    <x v="468"/>
    <n v="14"/>
    <x v="18"/>
    <s v="Merchant_006"/>
    <d v="2026-01-17T13:06:00"/>
    <x v="4"/>
    <s v="Card"/>
    <x v="0"/>
    <n v="45"/>
    <d v="2026-01-17T00:00:00"/>
    <n v="799"/>
    <s v="South"/>
    <s v=""/>
  </r>
  <r>
    <x v="469"/>
    <n v="307"/>
    <x v="17"/>
    <s v="Merchant_021"/>
    <d v="2026-01-18T02:38:00"/>
    <x v="4"/>
    <s v="UPI"/>
    <x v="0"/>
    <n v="49"/>
    <d v="2026-01-18T00:00:00"/>
    <n v="799"/>
    <s v="East"/>
    <s v=""/>
  </r>
  <r>
    <x v="470"/>
    <n v="199"/>
    <x v="18"/>
    <s v="Merchant_006"/>
    <d v="2026-01-01T09:26:00"/>
    <x v="8"/>
    <s v="UPI"/>
    <x v="0"/>
    <n v="92"/>
    <d v="2026-01-01T00:00:00"/>
    <n v="149"/>
    <s v="South"/>
    <s v=""/>
  </r>
  <r>
    <x v="471"/>
    <n v="125"/>
    <x v="21"/>
    <s v="Merchant_037"/>
    <d v="2026-01-29T17:57:00"/>
    <x v="8"/>
    <s v="Wallet"/>
    <x v="0"/>
    <n v="66"/>
    <d v="2026-01-29T00:00:00"/>
    <n v="149"/>
    <s v="South"/>
    <s v=""/>
  </r>
  <r>
    <x v="472"/>
    <n v="87"/>
    <x v="39"/>
    <s v="Merchant_009"/>
    <d v="2026-01-06T21:24:00"/>
    <x v="8"/>
    <s v="UPI"/>
    <x v="0"/>
    <n v="34"/>
    <d v="2026-01-06T00:00:00"/>
    <n v="149"/>
    <s v="North"/>
    <s v=""/>
  </r>
  <r>
    <x v="473"/>
    <n v="75"/>
    <x v="31"/>
    <s v="Merchant_005"/>
    <d v="2026-01-10T08:31:00"/>
    <x v="3"/>
    <s v="UPI"/>
    <x v="0"/>
    <n v="21"/>
    <d v="2026-01-10T00:00:00"/>
    <n v="99"/>
    <s v="South"/>
    <s v=""/>
  </r>
  <r>
    <x v="474"/>
    <n v="154"/>
    <x v="20"/>
    <s v="Merchant_031"/>
    <d v="2026-01-14T08:26:00"/>
    <x v="7"/>
    <s v="Wallet"/>
    <x v="0"/>
    <n v="100"/>
    <d v="2026-01-14T00:00:00"/>
    <n v="499"/>
    <s v="East"/>
    <s v=""/>
  </r>
  <r>
    <x v="475"/>
    <n v="127"/>
    <x v="32"/>
    <s v="Merchant_032"/>
    <d v="2026-01-03T11:16:00"/>
    <x v="8"/>
    <s v="Card"/>
    <x v="0"/>
    <n v="76"/>
    <d v="2026-01-03T00:00:00"/>
    <n v="149"/>
    <s v="West"/>
    <s v=""/>
  </r>
  <r>
    <x v="476"/>
    <n v="351"/>
    <x v="23"/>
    <s v="Merchant_007"/>
    <d v="2026-01-30T06:00:00"/>
    <x v="18"/>
    <s v="Card"/>
    <x v="2"/>
    <n v="79"/>
    <d v="2026-01-30T00:00:00"/>
    <n v="0"/>
    <s v="East"/>
    <s v=""/>
  </r>
  <r>
    <x v="477"/>
    <n v="353"/>
    <x v="9"/>
    <s v="Merchant_028"/>
    <d v="2026-01-21T14:00:00"/>
    <x v="18"/>
    <s v="Card"/>
    <x v="2"/>
    <n v="79"/>
    <d v="2026-01-21T00:00:00"/>
    <n v="0"/>
    <s v="South"/>
    <s v=""/>
  </r>
  <r>
    <x v="478"/>
    <n v="354"/>
    <x v="5"/>
    <s v="Merchant_013"/>
    <d v="2026-01-21T19:00:00"/>
    <x v="10"/>
    <s v="Card"/>
    <x v="2"/>
    <n v="80"/>
    <d v="2026-01-21T00:00:00"/>
    <n v="0"/>
    <s v="East"/>
    <s v=""/>
  </r>
  <r>
    <x v="479"/>
    <n v="355"/>
    <x v="13"/>
    <s v="Merchant_019"/>
    <d v="2026-01-16T12:00:00"/>
    <x v="10"/>
    <s v="Card"/>
    <x v="2"/>
    <n v="100"/>
    <d v="2026-01-16T00:00:00"/>
    <n v="0"/>
    <s v="North"/>
    <s v=""/>
  </r>
  <r>
    <x v="480"/>
    <n v="356"/>
    <x v="14"/>
    <s v="Merchant_025"/>
    <d v="2026-01-29T07:00:00"/>
    <x v="0"/>
    <s v="Card"/>
    <x v="2"/>
    <n v="96"/>
    <d v="2026-01-29T00:00:00"/>
    <n v="49"/>
    <s v="South"/>
    <s v=""/>
  </r>
  <r>
    <x v="481"/>
    <n v="357"/>
    <x v="21"/>
    <s v="Merchant_037"/>
    <d v="2026-01-23T11:00:00"/>
    <x v="18"/>
    <s v="Card"/>
    <x v="2"/>
    <n v="88"/>
    <d v="2026-01-23T00:00:00"/>
    <n v="0"/>
    <s v="South"/>
    <s v=""/>
  </r>
  <r>
    <x v="482"/>
    <n v="358"/>
    <x v="25"/>
    <s v="Merchant_036"/>
    <d v="2026-01-28T05:00:00"/>
    <x v="19"/>
    <s v="Card"/>
    <x v="2"/>
    <n v="100"/>
    <d v="2026-01-28T00:00:00"/>
    <n v="0"/>
    <s v="East"/>
    <s v=""/>
  </r>
  <r>
    <x v="483"/>
    <n v="359"/>
    <x v="26"/>
    <s v="Merchant_029"/>
    <d v="2026-01-25T22:00:00"/>
    <x v="0"/>
    <s v="Card"/>
    <x v="1"/>
    <n v="96"/>
    <d v="2026-01-25T00:00:00"/>
    <n v="299"/>
    <s v="North"/>
    <s v=""/>
  </r>
  <r>
    <x v="484"/>
    <n v="360"/>
    <x v="32"/>
    <s v="Merchant_032"/>
    <d v="2026-01-13T13:00:00"/>
    <x v="18"/>
    <s v="Card"/>
    <x v="2"/>
    <n v="90"/>
    <d v="2026-01-13T00:00:00"/>
    <n v="0"/>
    <s v="West"/>
    <s v=""/>
  </r>
  <r>
    <x v="485"/>
    <n v="361"/>
    <x v="33"/>
    <s v="Merchant_010"/>
    <d v="2026-01-20T07:00:00"/>
    <x v="10"/>
    <s v="Card"/>
    <x v="2"/>
    <n v="95"/>
    <d v="2026-01-20T00:00:00"/>
    <n v="0"/>
    <s v="West"/>
    <s v=""/>
  </r>
  <r>
    <x v="486"/>
    <n v="362"/>
    <x v="37"/>
    <s v="Merchant_039"/>
    <d v="2026-01-23T02:00:00"/>
    <x v="10"/>
    <s v="Card"/>
    <x v="2"/>
    <n v="88"/>
    <d v="2026-01-23T00:00:00"/>
    <n v="0"/>
    <s v="North"/>
    <s v=""/>
  </r>
  <r>
    <x v="487"/>
    <n v="363"/>
    <x v="1"/>
    <s v="Merchant_027"/>
    <d v="2026-01-23T17:00:00"/>
    <x v="19"/>
    <s v="Card"/>
    <x v="2"/>
    <n v="95"/>
    <d v="2026-01-23T00:00:00"/>
    <n v="2999"/>
    <s v="North"/>
    <s v=""/>
  </r>
  <r>
    <x v="488"/>
    <n v="364"/>
    <x v="37"/>
    <s v="Merchant_039"/>
    <d v="2026-01-22T22:00:00"/>
    <x v="19"/>
    <s v="Card"/>
    <x v="2"/>
    <n v="73"/>
    <d v="2026-01-22T00:00:00"/>
    <n v="799"/>
    <s v="North"/>
    <s v=""/>
  </r>
  <r>
    <x v="489"/>
    <n v="365"/>
    <x v="4"/>
    <s v="Merchant_023"/>
    <d v="2026-01-18T21:00:00"/>
    <x v="18"/>
    <s v="Card"/>
    <x v="2"/>
    <n v="90"/>
    <d v="2026-01-18T00:00:00"/>
    <n v="0"/>
    <s v="North"/>
    <s v=""/>
  </r>
  <r>
    <x v="490"/>
    <n v="314"/>
    <x v="22"/>
    <s v="Merchant_026"/>
    <d v="2026-01-02T18:00:00"/>
    <x v="20"/>
    <s v="Card"/>
    <x v="1"/>
    <n v="87"/>
    <d v="2026-01-02T00:00:00"/>
    <n v="0"/>
    <s v="East"/>
    <s v=""/>
  </r>
  <r>
    <x v="491"/>
    <n v="314"/>
    <x v="23"/>
    <s v="Merchant_007"/>
    <d v="2026-01-02T18:01:00"/>
    <x v="5"/>
    <s v="Card"/>
    <x v="1"/>
    <n v="66"/>
    <d v="2026-01-02T00:00:00"/>
    <n v="2999"/>
    <s v="East"/>
    <s v=""/>
  </r>
  <r>
    <x v="492"/>
    <n v="314"/>
    <x v="28"/>
    <s v="Merchant_017"/>
    <d v="2026-01-02T18:02:00"/>
    <x v="5"/>
    <s v="Card"/>
    <x v="1"/>
    <n v="92"/>
    <d v="2026-01-02T00:00:00"/>
    <n v="0"/>
    <s v="North"/>
    <s v=""/>
  </r>
  <r>
    <x v="493"/>
    <n v="314"/>
    <x v="35"/>
    <s v="Merchant_034"/>
    <d v="2026-01-02T18:03:00"/>
    <x v="7"/>
    <s v="Card"/>
    <x v="0"/>
    <n v="74"/>
    <d v="2026-01-02T00:00:00"/>
    <n v="548"/>
    <s v="South"/>
    <s v=""/>
  </r>
  <r>
    <x v="494"/>
    <n v="229"/>
    <x v="24"/>
    <s v="Merchant_030"/>
    <d v="2026-01-12T12:00:00"/>
    <x v="7"/>
    <s v="Card"/>
    <x v="1"/>
    <n v="92"/>
    <d v="2026-01-12T00:00:00"/>
    <n v="0"/>
    <s v="West"/>
    <s v=""/>
  </r>
  <r>
    <x v="495"/>
    <n v="229"/>
    <x v="33"/>
    <s v="Merchant_010"/>
    <d v="2026-01-12T12:01:00"/>
    <x v="20"/>
    <s v="Card"/>
    <x v="1"/>
    <n v="61"/>
    <d v="2026-01-12T00:00:00"/>
    <n v="0"/>
    <s v="West"/>
    <s v=""/>
  </r>
  <r>
    <x v="496"/>
    <n v="229"/>
    <x v="20"/>
    <s v="Merchant_031"/>
    <d v="2026-01-12T12:02:00"/>
    <x v="5"/>
    <s v="Card"/>
    <x v="1"/>
    <n v="78"/>
    <d v="2026-01-12T00:00:00"/>
    <n v="0"/>
    <s v="East"/>
    <s v=""/>
  </r>
  <r>
    <x v="497"/>
    <n v="229"/>
    <x v="1"/>
    <s v="Merchant_027"/>
    <d v="2026-01-12T12:03:00"/>
    <x v="5"/>
    <s v="Card"/>
    <x v="0"/>
    <n v="67"/>
    <d v="2026-01-12T00:00:00"/>
    <n v="299"/>
    <s v="North"/>
    <s v=""/>
  </r>
  <r>
    <x v="498"/>
    <n v="73"/>
    <x v="3"/>
    <s v="Merchant_022"/>
    <d v="2026-01-12T09:00:00"/>
    <x v="20"/>
    <s v="Card"/>
    <x v="1"/>
    <n v="73"/>
    <d v="2026-01-12T00:00:00"/>
    <n v="1298"/>
    <s v="South"/>
    <s v=""/>
  </r>
  <r>
    <x v="499"/>
    <n v="73"/>
    <x v="35"/>
    <s v="Merchant_034"/>
    <d v="2026-01-12T09:01:00"/>
    <x v="20"/>
    <s v="Card"/>
    <x v="1"/>
    <n v="82"/>
    <d v="2026-01-12T00:00:00"/>
    <n v="0"/>
    <s v="South"/>
    <s v=""/>
  </r>
  <r>
    <x v="500"/>
    <n v="73"/>
    <x v="20"/>
    <s v="Merchant_031"/>
    <d v="2026-01-12T09:02:00"/>
    <x v="5"/>
    <s v="Card"/>
    <x v="1"/>
    <n v="88"/>
    <d v="2026-01-12T00:00:00"/>
    <n v="0"/>
    <s v="East"/>
    <s v=""/>
  </r>
  <r>
    <x v="501"/>
    <n v="73"/>
    <x v="26"/>
    <s v="Merchant_029"/>
    <d v="2026-01-12T09:03:00"/>
    <x v="20"/>
    <s v="Card"/>
    <x v="0"/>
    <n v="64"/>
    <d v="2026-01-12T00:00:00"/>
    <n v="399"/>
    <s v="North"/>
    <s v=""/>
  </r>
  <r>
    <x v="502"/>
    <n v="154"/>
    <x v="30"/>
    <s v="Merchant_008"/>
    <d v="2026-01-02T22:00:00"/>
    <x v="5"/>
    <s v="Card"/>
    <x v="1"/>
    <n v="81"/>
    <d v="2026-01-02T00:00:00"/>
    <n v="0"/>
    <s v="North"/>
    <s v=""/>
  </r>
  <r>
    <x v="503"/>
    <n v="154"/>
    <x v="23"/>
    <s v="Merchant_007"/>
    <d v="2026-01-02T22:01:00"/>
    <x v="7"/>
    <s v="Card"/>
    <x v="1"/>
    <n v="70"/>
    <d v="2026-01-02T00:00:00"/>
    <n v="2999"/>
    <s v="East"/>
    <s v=""/>
  </r>
  <r>
    <x v="504"/>
    <n v="154"/>
    <x v="0"/>
    <s v="Merchant_016"/>
    <d v="2026-01-02T22:02:00"/>
    <x v="7"/>
    <s v="Card"/>
    <x v="1"/>
    <n v="71"/>
    <d v="2026-01-02T00:00:00"/>
    <n v="0"/>
    <s v="West"/>
    <s v=""/>
  </r>
  <r>
    <x v="505"/>
    <n v="154"/>
    <x v="25"/>
    <s v="Merchant_036"/>
    <d v="2026-01-02T22:03:00"/>
    <x v="5"/>
    <s v="Card"/>
    <x v="0"/>
    <n v="81"/>
    <d v="2026-01-02T00:00:00"/>
    <n v="299"/>
    <s v="East"/>
    <s v=""/>
  </r>
  <r>
    <x v="506"/>
    <n v="287"/>
    <x v="19"/>
    <s v="Merchant_015"/>
    <d v="2026-01-14T14:00:00"/>
    <x v="20"/>
    <s v="Card"/>
    <x v="1"/>
    <n v="71"/>
    <d v="2026-01-14T00:00:00"/>
    <n v="0"/>
    <s v="North"/>
    <s v=""/>
  </r>
  <r>
    <x v="507"/>
    <n v="287"/>
    <x v="8"/>
    <s v="Merchant_012"/>
    <d v="2026-01-14T14:01:00"/>
    <x v="7"/>
    <s v="Card"/>
    <x v="1"/>
    <n v="87"/>
    <d v="2026-01-14T00:00:00"/>
    <n v="49"/>
    <s v="East"/>
    <s v=""/>
  </r>
  <r>
    <x v="508"/>
    <n v="287"/>
    <x v="22"/>
    <s v="Merchant_026"/>
    <d v="2026-01-14T14:02:00"/>
    <x v="5"/>
    <s v="Card"/>
    <x v="1"/>
    <n v="72"/>
    <d v="2026-01-14T00:00:00"/>
    <n v="0"/>
    <s v="East"/>
    <s v=""/>
  </r>
  <r>
    <x v="509"/>
    <n v="287"/>
    <x v="26"/>
    <s v="Merchant_029"/>
    <d v="2026-01-14T14:03:00"/>
    <x v="7"/>
    <s v="Card"/>
    <x v="0"/>
    <n v="87"/>
    <d v="2026-01-14T00:00:00"/>
    <n v="1998"/>
    <s v="North"/>
    <s v=""/>
  </r>
  <r>
    <x v="510"/>
    <n v="200"/>
    <x v="16"/>
    <s v="Merchant_014"/>
    <d v="2026-01-01T22:00:00"/>
    <x v="5"/>
    <s v="Card"/>
    <x v="1"/>
    <n v="77"/>
    <d v="2026-01-01T00:00:00"/>
    <n v="0"/>
    <s v="East"/>
    <s v=""/>
  </r>
  <r>
    <x v="511"/>
    <n v="200"/>
    <x v="31"/>
    <s v="Merchant_005"/>
    <d v="2026-01-01T22:01:00"/>
    <x v="7"/>
    <s v="Card"/>
    <x v="1"/>
    <n v="66"/>
    <d v="2026-01-01T00:00:00"/>
    <n v="0"/>
    <s v="South"/>
    <s v=""/>
  </r>
  <r>
    <x v="512"/>
    <n v="200"/>
    <x v="7"/>
    <s v="Merchant_035"/>
    <d v="2026-01-01T22:02:00"/>
    <x v="5"/>
    <s v="Card"/>
    <x v="1"/>
    <n v="83"/>
    <d v="2026-01-01T00:00:00"/>
    <n v="499"/>
    <s v="East"/>
    <s v=""/>
  </r>
  <r>
    <x v="513"/>
    <n v="200"/>
    <x v="17"/>
    <s v="Merchant_021"/>
    <d v="2026-01-01T22:03:00"/>
    <x v="5"/>
    <s v="Card"/>
    <x v="0"/>
    <n v="89"/>
    <d v="2026-01-01T00:00:00"/>
    <n v="299"/>
    <s v="East"/>
    <s v=""/>
  </r>
  <r>
    <x v="514"/>
    <n v="59"/>
    <x v="32"/>
    <s v="Merchant_032"/>
    <d v="2026-01-09T21:00:00"/>
    <x v="7"/>
    <s v="Card"/>
    <x v="1"/>
    <n v="80"/>
    <d v="2026-01-09T00:00:00"/>
    <n v="0"/>
    <s v="West"/>
    <s v=""/>
  </r>
  <r>
    <x v="515"/>
    <n v="59"/>
    <x v="37"/>
    <s v="Merchant_039"/>
    <d v="2026-01-09T21:01:00"/>
    <x v="20"/>
    <s v="Card"/>
    <x v="1"/>
    <n v="85"/>
    <d v="2026-01-09T00:00:00"/>
    <n v="0"/>
    <s v="North"/>
    <s v=""/>
  </r>
  <r>
    <x v="516"/>
    <n v="59"/>
    <x v="34"/>
    <s v="Merchant_038"/>
    <d v="2026-01-09T21:02:00"/>
    <x v="5"/>
    <s v="Card"/>
    <x v="1"/>
    <n v="82"/>
    <d v="2026-01-09T00:00:00"/>
    <n v="49"/>
    <s v="East"/>
    <s v=""/>
  </r>
  <r>
    <x v="517"/>
    <n v="59"/>
    <x v="4"/>
    <s v="Merchant_023"/>
    <d v="2026-01-09T21:03:00"/>
    <x v="20"/>
    <s v="Card"/>
    <x v="1"/>
    <n v="71"/>
    <d v="2026-01-09T00:00:00"/>
    <n v="0"/>
    <s v="North"/>
    <s v=""/>
  </r>
  <r>
    <x v="518"/>
    <n v="345"/>
    <x v="12"/>
    <s v="Merchant_040"/>
    <d v="2026-01-23T09:00:00"/>
    <x v="7"/>
    <s v="Card"/>
    <x v="1"/>
    <n v="65"/>
    <d v="2026-01-23T00:00:00"/>
    <n v="99"/>
    <s v="South"/>
    <s v=""/>
  </r>
  <r>
    <x v="519"/>
    <n v="345"/>
    <x v="39"/>
    <s v="Merchant_009"/>
    <d v="2026-01-23T09:01:00"/>
    <x v="20"/>
    <s v="Card"/>
    <x v="1"/>
    <n v="67"/>
    <d v="2026-01-23T00:00:00"/>
    <n v="499"/>
    <s v="North"/>
    <s v=""/>
  </r>
  <r>
    <x v="520"/>
    <n v="345"/>
    <x v="8"/>
    <s v="Merchant_012"/>
    <d v="2026-01-23T09:03:00"/>
    <x v="20"/>
    <s v="Card"/>
    <x v="0"/>
    <n v="69"/>
    <d v="2026-01-23T00:00:00"/>
    <n v="448"/>
    <s v="East"/>
    <s v=""/>
  </r>
  <r>
    <x v="521"/>
    <n v="262"/>
    <x v="14"/>
    <s v="Merchant_025"/>
    <d v="2026-01-14T00:00:00"/>
    <x v="8"/>
    <s v="Netbanking"/>
    <x v="0"/>
    <n v="54"/>
    <d v="2026-01-14T00:00:00"/>
    <n v="149"/>
    <s v="South"/>
    <s v=""/>
  </r>
  <r>
    <x v="522"/>
    <n v="96"/>
    <x v="32"/>
    <s v="Merchant_032"/>
    <d v="2026-01-21T00:00:00"/>
    <x v="10"/>
    <s v="Wallet"/>
    <x v="0"/>
    <n v="71"/>
    <d v="2026-01-21T00:00:00"/>
    <n v="5347"/>
    <s v="West"/>
    <s v="High-Value Merchant Day"/>
  </r>
  <r>
    <x v="523"/>
    <n v="86"/>
    <x v="32"/>
    <s v="Merchant_032"/>
    <d v="2026-01-10T00:00:00"/>
    <x v="8"/>
    <s v="Wallet"/>
    <x v="0"/>
    <n v="40"/>
    <d v="2026-01-10T00:00:00"/>
    <n v="149"/>
    <s v="West"/>
    <s v=""/>
  </r>
  <r>
    <x v="524"/>
    <n v="231"/>
    <x v="12"/>
    <s v="Merchant_040"/>
    <d v="2026-01-02T00:00:00"/>
    <x v="4"/>
    <s v="UPI"/>
    <x v="0"/>
    <n v="62"/>
    <d v="2026-01-02T00:00:00"/>
    <n v="799"/>
    <s v="South"/>
    <s v=""/>
  </r>
  <r>
    <x v="525"/>
    <n v="70"/>
    <x v="5"/>
    <s v="Merchant_013"/>
    <d v="2026-01-27T00:00:00"/>
    <x v="2"/>
    <s v="Netbanking"/>
    <x v="0"/>
    <n v="52"/>
    <d v="2026-01-27T00:00:00"/>
    <n v="1598"/>
    <s v="East"/>
    <s v=""/>
  </r>
  <r>
    <x v="526"/>
    <n v="252"/>
    <x v="1"/>
    <s v="Merchant_027"/>
    <d v="2026-01-23T00:00:00"/>
    <x v="0"/>
    <s v="Netbanking"/>
    <x v="0"/>
    <n v="21"/>
    <d v="2026-01-23T00:00:00"/>
    <n v="2999"/>
    <s v="North"/>
    <s v=""/>
  </r>
  <r>
    <x v="527"/>
    <n v="43"/>
    <x v="21"/>
    <s v="Merchant_037"/>
    <d v="2026-01-01T00:00:00"/>
    <x v="5"/>
    <s v="Card"/>
    <x v="0"/>
    <n v="4"/>
    <d v="2026-01-01T00:00:00"/>
    <n v="897"/>
    <s v="South"/>
    <s v=""/>
  </r>
  <r>
    <x v="528"/>
    <n v="141"/>
    <x v="19"/>
    <s v="Merchant_015"/>
    <d v="2026-01-18T00:00:00"/>
    <x v="7"/>
    <s v="Wallet"/>
    <x v="0"/>
    <n v="99"/>
    <d v="2026-01-18T00:00:00"/>
    <n v="499"/>
    <s v="North"/>
    <s v=""/>
  </r>
  <r>
    <x v="529"/>
    <n v="235"/>
    <x v="21"/>
    <s v="Merchant_037"/>
    <d v="2026-01-24T00:00:00"/>
    <x v="0"/>
    <s v="UPI"/>
    <x v="0"/>
    <n v="73"/>
    <d v="2026-01-24T00:00:00"/>
    <n v="2999"/>
    <s v="South"/>
    <s v=""/>
  </r>
  <r>
    <x v="530"/>
    <n v="59"/>
    <x v="6"/>
    <s v="Merchant_018"/>
    <d v="2026-01-25T00:00:00"/>
    <x v="10"/>
    <s v="Card"/>
    <x v="0"/>
    <n v="69"/>
    <d v="2026-01-25T00:00:00"/>
    <n v="6647"/>
    <s v="West"/>
    <s v="High-Value Merchant Day"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s v="Merchant Not Found"/>
    <m/>
    <x v="21"/>
    <m/>
    <x v="3"/>
    <m/>
    <m/>
    <m/>
    <m/>
    <m/>
  </r>
  <r>
    <x v="531"/>
    <m/>
    <x v="40"/>
    <m/>
    <m/>
    <x v="21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F46" firstHeaderRow="1" firstDataRow="2" firstDataCol="1"/>
  <pivotFields count="13">
    <pivotField showAll="0" includeNewItemsInFilter="1" countASubtotal="1">
      <items count="5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countA"/>
      </items>
    </pivotField>
    <pivotField showAll="0"/>
    <pivotField axis="axisRow" showAll="0">
      <items count="42">
        <item x="36"/>
        <item x="27"/>
        <item x="11"/>
        <item x="29"/>
        <item x="31"/>
        <item x="18"/>
        <item x="23"/>
        <item x="30"/>
        <item x="39"/>
        <item x="33"/>
        <item x="2"/>
        <item x="8"/>
        <item x="5"/>
        <item x="16"/>
        <item x="19"/>
        <item x="0"/>
        <item x="28"/>
        <item x="6"/>
        <item x="13"/>
        <item x="15"/>
        <item x="17"/>
        <item x="3"/>
        <item x="4"/>
        <item x="38"/>
        <item x="14"/>
        <item x="22"/>
        <item x="1"/>
        <item x="9"/>
        <item x="26"/>
        <item x="24"/>
        <item x="20"/>
        <item x="32"/>
        <item x="10"/>
        <item x="35"/>
        <item x="7"/>
        <item x="25"/>
        <item x="21"/>
        <item x="34"/>
        <item x="37"/>
        <item x="12"/>
        <item x="40"/>
        <item t="default"/>
      </items>
    </pivotField>
    <pivotField showAll="0"/>
    <pivotField showAll="0"/>
    <pivotField dataField="1" showAll="0">
      <items count="23">
        <item x="11"/>
        <item x="12"/>
        <item x="1"/>
        <item x="3"/>
        <item x="8"/>
        <item x="15"/>
        <item x="5"/>
        <item x="13"/>
        <item x="20"/>
        <item x="7"/>
        <item x="16"/>
        <item x="4"/>
        <item x="14"/>
        <item x="19"/>
        <item x="9"/>
        <item x="2"/>
        <item x="18"/>
        <item x="6"/>
        <item x="0"/>
        <item x="17"/>
        <item x="10"/>
        <item x="21"/>
        <item t="default"/>
      </items>
    </pivotField>
    <pivotField showAll="0"/>
    <pivotField axis="axisCol" showAll="0" includeNewItemsInFilter="1" countASubtotal="1">
      <items count="5">
        <item x="0"/>
        <item x="2"/>
        <item x="1"/>
        <item x="3"/>
        <item t="countA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_inr" fld="5" baseField="2" baseItem="0"/>
  </dataFields>
  <formats count="3">
    <format dxfId="5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3">
      <pivotArea type="topRight" dataOnly="0" labelOnly="1" outline="0" offset="C1" fieldPosition="0"/>
    </format>
    <format dxfId="1">
      <pivotArea dataOnly="0" labelOnly="1" fieldPosition="0">
        <references count="1">
          <reference field="7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2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45" firstHeaderRow="0" firstDataRow="1" firstDataCol="1"/>
  <pivotFields count="13">
    <pivotField dataField="1" showAll="0">
      <items count="5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showAll="0"/>
    <pivotField axis="axisRow" showAll="0">
      <items count="42">
        <item x="36"/>
        <item x="27"/>
        <item x="11"/>
        <item x="29"/>
        <item x="31"/>
        <item x="18"/>
        <item x="23"/>
        <item x="30"/>
        <item x="39"/>
        <item x="33"/>
        <item x="2"/>
        <item x="8"/>
        <item x="5"/>
        <item x="16"/>
        <item x="19"/>
        <item x="0"/>
        <item x="28"/>
        <item x="6"/>
        <item x="13"/>
        <item x="15"/>
        <item x="17"/>
        <item x="3"/>
        <item x="4"/>
        <item x="38"/>
        <item x="14"/>
        <item x="22"/>
        <item x="1"/>
        <item x="9"/>
        <item x="26"/>
        <item x="24"/>
        <item x="20"/>
        <item x="32"/>
        <item x="10"/>
        <item x="35"/>
        <item x="7"/>
        <item x="25"/>
        <item x="21"/>
        <item x="34"/>
        <item x="37"/>
        <item x="12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2" baseItem="9"/>
    <dataField name="StdDev of txn_date" fld="9" subtotal="stdDev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zoomScaleNormal="100" workbookViewId="0">
      <selection activeCell="B30" sqref="B30"/>
    </sheetView>
  </sheetViews>
  <sheetFormatPr defaultColWidth="8.7109375" defaultRowHeight="15" x14ac:dyDescent="0.25"/>
  <cols>
    <col min="1" max="1" width="130" customWidth="1"/>
  </cols>
  <sheetData>
    <row r="1" spans="1:1" ht="15" customHeight="1" x14ac:dyDescent="0.25">
      <c r="A1" s="2" t="s">
        <v>0</v>
      </c>
    </row>
    <row r="2" spans="1:1" ht="15" customHeight="1" x14ac:dyDescent="0.25">
      <c r="A2" s="3"/>
    </row>
    <row r="3" spans="1:1" ht="15" customHeight="1" x14ac:dyDescent="0.25">
      <c r="A3" s="4" t="s">
        <v>1</v>
      </c>
    </row>
    <row r="4" spans="1:1" ht="15" customHeight="1" x14ac:dyDescent="0.25">
      <c r="A4" s="3" t="s">
        <v>2</v>
      </c>
    </row>
    <row r="5" spans="1:1" ht="15" customHeight="1" x14ac:dyDescent="0.25">
      <c r="A5" s="3" t="s">
        <v>3</v>
      </c>
    </row>
    <row r="6" spans="1:1" ht="15" customHeight="1" x14ac:dyDescent="0.25">
      <c r="A6" s="3"/>
    </row>
    <row r="7" spans="1:1" ht="15" customHeight="1" x14ac:dyDescent="0.25">
      <c r="A7" s="3" t="s">
        <v>4</v>
      </c>
    </row>
    <row r="8" spans="1:1" ht="15" customHeight="1" x14ac:dyDescent="0.25">
      <c r="A8" s="3"/>
    </row>
    <row r="9" spans="1:1" ht="15" customHeight="1" x14ac:dyDescent="0.25">
      <c r="A9" s="4" t="s">
        <v>5</v>
      </c>
    </row>
    <row r="10" spans="1:1" ht="15" customHeight="1" x14ac:dyDescent="0.25">
      <c r="A10" s="3" t="s">
        <v>6</v>
      </c>
    </row>
    <row r="11" spans="1:1" ht="15" customHeight="1" x14ac:dyDescent="0.25">
      <c r="A11" s="3" t="s">
        <v>7</v>
      </c>
    </row>
    <row r="12" spans="1:1" ht="15" customHeight="1" x14ac:dyDescent="0.25">
      <c r="A12" s="3" t="s">
        <v>8</v>
      </c>
    </row>
    <row r="13" spans="1:1" ht="15" customHeight="1" x14ac:dyDescent="0.25">
      <c r="A13" s="3" t="s">
        <v>9</v>
      </c>
    </row>
    <row r="14" spans="1:1" ht="15" customHeight="1" x14ac:dyDescent="0.25">
      <c r="A14" s="3"/>
    </row>
    <row r="15" spans="1:1" ht="15" customHeight="1" x14ac:dyDescent="0.25">
      <c r="A15" s="4" t="s">
        <v>10</v>
      </c>
    </row>
    <row r="16" spans="1:1" ht="15" customHeight="1" x14ac:dyDescent="0.25">
      <c r="A16" s="3" t="s">
        <v>11</v>
      </c>
    </row>
    <row r="17" spans="1:1" ht="15" customHeight="1" x14ac:dyDescent="0.25">
      <c r="A17" s="3" t="s">
        <v>12</v>
      </c>
    </row>
    <row r="18" spans="1:1" ht="15" customHeight="1" x14ac:dyDescent="0.25">
      <c r="A18" s="3" t="s">
        <v>13</v>
      </c>
    </row>
    <row r="19" spans="1:1" ht="15" customHeight="1" x14ac:dyDescent="0.25">
      <c r="A19" s="3" t="s">
        <v>14</v>
      </c>
    </row>
    <row r="20" spans="1:1" ht="15" customHeight="1" x14ac:dyDescent="0.25">
      <c r="A20" s="3" t="s">
        <v>15</v>
      </c>
    </row>
    <row r="21" spans="1:1" ht="15" customHeight="1" x14ac:dyDescent="0.25">
      <c r="A21" s="3" t="s">
        <v>16</v>
      </c>
    </row>
    <row r="22" spans="1:1" ht="15" customHeight="1" x14ac:dyDescent="0.25">
      <c r="A22" s="3" t="s">
        <v>17</v>
      </c>
    </row>
    <row r="23" spans="1:1" ht="15" customHeight="1" x14ac:dyDescent="0.25">
      <c r="A23" s="3" t="s">
        <v>18</v>
      </c>
    </row>
    <row r="24" spans="1:1" ht="15" customHeight="1" x14ac:dyDescent="0.25">
      <c r="A24" s="3" t="s">
        <v>19</v>
      </c>
    </row>
    <row r="25" spans="1:1" ht="15" customHeight="1" x14ac:dyDescent="0.25">
      <c r="A25" s="3" t="s">
        <v>20</v>
      </c>
    </row>
    <row r="26" spans="1:1" ht="15" customHeight="1" x14ac:dyDescent="0.25">
      <c r="A26" s="3" t="s">
        <v>21</v>
      </c>
    </row>
    <row r="27" spans="1:1" ht="15" customHeight="1" x14ac:dyDescent="0.25">
      <c r="A27" s="3"/>
    </row>
    <row r="28" spans="1:1" ht="15" customHeight="1" x14ac:dyDescent="0.25">
      <c r="A28" s="4" t="s">
        <v>22</v>
      </c>
    </row>
    <row r="29" spans="1:1" ht="15" customHeight="1" x14ac:dyDescent="0.25">
      <c r="A29" s="3" t="s">
        <v>23</v>
      </c>
    </row>
    <row r="30" spans="1:1" ht="15" customHeight="1" x14ac:dyDescent="0.25">
      <c r="A30" s="3" t="s">
        <v>24</v>
      </c>
    </row>
    <row r="31" spans="1:1" ht="15" customHeight="1" x14ac:dyDescent="0.25">
      <c r="A31" s="3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9"/>
  <sheetViews>
    <sheetView tabSelected="1" zoomScaleNormal="100" workbookViewId="0">
      <selection activeCell="E30" sqref="E30"/>
    </sheetView>
  </sheetViews>
  <sheetFormatPr defaultColWidth="8.7109375" defaultRowHeight="15" x14ac:dyDescent="0.25"/>
  <cols>
    <col min="1" max="1" width="15.5703125" bestFit="1" customWidth="1"/>
    <col min="2" max="2" width="15.140625" customWidth="1"/>
    <col min="3" max="3" width="15.85546875" customWidth="1"/>
    <col min="4" max="4" width="21.5703125" style="13" customWidth="1"/>
    <col min="5" max="5" width="24.5703125" customWidth="1"/>
    <col min="6" max="6" width="14.7109375" customWidth="1"/>
    <col min="7" max="7" width="12.5703125" customWidth="1"/>
    <col min="9" max="9" width="16.5703125" customWidth="1"/>
    <col min="10" max="10" width="12" customWidth="1"/>
    <col min="11" max="11" width="14" customWidth="1"/>
    <col min="12" max="12" width="12" customWidth="1"/>
    <col min="13" max="13" width="24" customWidth="1"/>
  </cols>
  <sheetData>
    <row r="1" spans="1:13" x14ac:dyDescent="0.25">
      <c r="A1" s="5" t="s">
        <v>26</v>
      </c>
      <c r="B1" s="5" t="s">
        <v>27</v>
      </c>
      <c r="C1" s="5" t="s">
        <v>28</v>
      </c>
      <c r="D1" s="12" t="s">
        <v>576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6" t="s">
        <v>34</v>
      </c>
      <c r="K1" s="6" t="s">
        <v>35</v>
      </c>
      <c r="L1" s="6" t="s">
        <v>36</v>
      </c>
      <c r="M1" s="6" t="s">
        <v>37</v>
      </c>
    </row>
    <row r="2" spans="1:13" s="13" customFormat="1" x14ac:dyDescent="0.2">
      <c r="A2" s="13" t="s">
        <v>632</v>
      </c>
      <c r="B2" s="13">
        <v>350</v>
      </c>
      <c r="C2" s="13">
        <v>16</v>
      </c>
      <c r="D2" s="13" t="str">
        <f>IFERROR(VLOOKUP(C2,[1]Sheet1!$A$1:$C$41,2,0),"Merchant Not Found")</f>
        <v>Merchant_016</v>
      </c>
      <c r="E2" s="16">
        <v>46051.467361111114</v>
      </c>
      <c r="F2" s="14">
        <v>2999</v>
      </c>
      <c r="H2" s="14" t="s">
        <v>40</v>
      </c>
      <c r="I2" s="13">
        <v>85</v>
      </c>
      <c r="J2" s="9">
        <f t="shared" ref="J2:J66" si="0">INT(E2)</f>
        <v>46051</v>
      </c>
      <c r="K2" s="10">
        <f>INDEX(Daily_Merchant_Pivot!$B$3:$AO$32,MATCH(J2,Daily_Merchant_Pivot!$A$3:$A$32,0),MATCH(C2,Daily_Merchant_Pivot!$B$2:$AO$2,0))</f>
        <v>0</v>
      </c>
      <c r="L2" s="15" t="s">
        <v>584</v>
      </c>
      <c r="M2" s="11" t="str">
        <f t="shared" ref="M2:M66" si="1">IF(AND(K2&gt;5000,L2&lt;&gt;"East"),"High-Value Merchant Day","")</f>
        <v/>
      </c>
    </row>
    <row r="3" spans="1:13" x14ac:dyDescent="0.25">
      <c r="A3" t="s">
        <v>38</v>
      </c>
      <c r="B3">
        <v>287</v>
      </c>
      <c r="C3">
        <v>27</v>
      </c>
      <c r="D3" s="13" t="str">
        <f>IFERROR(VLOOKUP(C3,[1]Sheet1!$A$1:$C$41,2,0),"Merchant Not Found")</f>
        <v>Merchant_027</v>
      </c>
      <c r="E3" s="7">
        <v>46026.492361111101</v>
      </c>
      <c r="F3">
        <v>49</v>
      </c>
      <c r="G3" s="8" t="s">
        <v>39</v>
      </c>
      <c r="H3" s="8" t="s">
        <v>40</v>
      </c>
      <c r="I3">
        <v>79</v>
      </c>
      <c r="J3" s="9">
        <f t="shared" si="0"/>
        <v>46026</v>
      </c>
      <c r="K3" s="10">
        <f>INDEX(Daily_Merchant_Pivot!$B$3:$AO$32,MATCH(J3,Daily_Merchant_Pivot!$A$3:$A$32,0),MATCH(C3,Daily_Merchant_Pivot!$B$2:$AO$2,0))</f>
        <v>49</v>
      </c>
      <c r="L3" s="3" t="str">
        <f>INDEX(Merchant_Region_Map!$D$3:$D$42,MATCH(C3,Merchant_Region_Map!$A$3:$A$42,0))</f>
        <v>North</v>
      </c>
      <c r="M3" s="11" t="str">
        <f t="shared" si="1"/>
        <v/>
      </c>
    </row>
    <row r="4" spans="1:13" x14ac:dyDescent="0.25">
      <c r="A4" t="s">
        <v>41</v>
      </c>
      <c r="B4">
        <v>122</v>
      </c>
      <c r="C4">
        <v>11</v>
      </c>
      <c r="D4" s="13" t="str">
        <f>IFERROR(VLOOKUP(C4,[1]Sheet1!$A$1:$C$41,2,0),"Merchant Not Found")</f>
        <v>Merchant_011</v>
      </c>
      <c r="E4" s="7">
        <v>46046.207638888904</v>
      </c>
      <c r="F4">
        <v>1499</v>
      </c>
      <c r="G4" s="8" t="s">
        <v>42</v>
      </c>
      <c r="H4" s="8" t="s">
        <v>40</v>
      </c>
      <c r="I4">
        <v>22</v>
      </c>
      <c r="J4" s="9">
        <f t="shared" si="0"/>
        <v>46046</v>
      </c>
      <c r="K4" s="10">
        <f>INDEX(Daily_Merchant_Pivot!$B$3:$AO$32,MATCH(J4,Daily_Merchant_Pivot!$A$3:$A$32,0),MATCH(C4,Daily_Merchant_Pivot!$B$2:$AO$2,0))</f>
        <v>1798</v>
      </c>
      <c r="L4" s="3" t="str">
        <f>INDEX(Merchant_Region_Map!$D$3:$D$42,MATCH(C4,Merchant_Region_Map!$A$3:$A$42,0))</f>
        <v>North</v>
      </c>
      <c r="M4" s="11" t="str">
        <f t="shared" si="1"/>
        <v/>
      </c>
    </row>
    <row r="5" spans="1:13" x14ac:dyDescent="0.25">
      <c r="A5" t="s">
        <v>43</v>
      </c>
      <c r="B5">
        <v>92</v>
      </c>
      <c r="C5">
        <v>22</v>
      </c>
      <c r="D5" s="13" t="str">
        <f>IFERROR(VLOOKUP(C5,[1]Sheet1!$A$1:$C$41,2,0),"Merchant Not Found")</f>
        <v>Merchant_022</v>
      </c>
      <c r="E5" s="7">
        <v>46051.542361111096</v>
      </c>
      <c r="F5">
        <v>49</v>
      </c>
      <c r="G5" s="8" t="s">
        <v>44</v>
      </c>
      <c r="H5" s="8" t="s">
        <v>40</v>
      </c>
      <c r="I5">
        <v>100</v>
      </c>
      <c r="J5" s="9">
        <f t="shared" si="0"/>
        <v>46051</v>
      </c>
      <c r="K5" s="10">
        <f>INDEX(Daily_Merchant_Pivot!$B$3:$AO$32,MATCH(J5,Daily_Merchant_Pivot!$A$3:$A$32,0),MATCH(C5,Daily_Merchant_Pivot!$B$2:$AO$2,0))</f>
        <v>49</v>
      </c>
      <c r="L5" s="3" t="str">
        <f>INDEX(Merchant_Region_Map!$D$3:$D$42,MATCH(C5,Merchant_Region_Map!$A$3:$A$42,0))</f>
        <v>South</v>
      </c>
      <c r="M5" s="11" t="str">
        <f t="shared" si="1"/>
        <v/>
      </c>
    </row>
    <row r="6" spans="1:13" x14ac:dyDescent="0.25">
      <c r="A6" t="s">
        <v>45</v>
      </c>
      <c r="B6">
        <v>343</v>
      </c>
      <c r="C6">
        <v>16</v>
      </c>
      <c r="D6" s="13" t="str">
        <f>IFERROR(VLOOKUP(C6,[1]Sheet1!$A$1:$C$41,2,0),"Merchant Not Found")</f>
        <v>Merchant_016</v>
      </c>
      <c r="E6" s="7">
        <v>46052.577083333301</v>
      </c>
      <c r="F6">
        <v>99</v>
      </c>
      <c r="G6" s="8" t="s">
        <v>39</v>
      </c>
      <c r="H6" s="8" t="s">
        <v>40</v>
      </c>
      <c r="I6">
        <v>34</v>
      </c>
      <c r="J6" s="9">
        <f t="shared" si="0"/>
        <v>46052</v>
      </c>
      <c r="K6" s="10">
        <f>INDEX(Daily_Merchant_Pivot!$B$3:$AO$32,MATCH(J6,Daily_Merchant_Pivot!$A$3:$A$32,0),MATCH(C6,Daily_Merchant_Pivot!$B$2:$AO$2,0))</f>
        <v>898</v>
      </c>
      <c r="L6" s="3" t="str">
        <f>INDEX(Merchant_Region_Map!$D$3:$D$42,MATCH(C6,Merchant_Region_Map!$A$3:$A$42,0))</f>
        <v>West</v>
      </c>
      <c r="M6" s="11" t="str">
        <f t="shared" si="1"/>
        <v/>
      </c>
    </row>
    <row r="7" spans="1:13" x14ac:dyDescent="0.25">
      <c r="A7" t="s">
        <v>46</v>
      </c>
      <c r="B7">
        <v>236</v>
      </c>
      <c r="C7">
        <v>23</v>
      </c>
      <c r="D7" s="13" t="str">
        <f>IFERROR(VLOOKUP(C7,[1]Sheet1!$A$1:$C$41,2,0),"Merchant Not Found")</f>
        <v>Merchant_023</v>
      </c>
      <c r="E7" s="7">
        <v>46030.286111111098</v>
      </c>
      <c r="F7">
        <v>99</v>
      </c>
      <c r="G7" s="8" t="s">
        <v>42</v>
      </c>
      <c r="H7" s="8" t="s">
        <v>40</v>
      </c>
      <c r="I7">
        <v>39</v>
      </c>
      <c r="J7" s="9">
        <f t="shared" si="0"/>
        <v>46030</v>
      </c>
      <c r="K7" s="10">
        <f>INDEX(Daily_Merchant_Pivot!$B$3:$AO$32,MATCH(J7,Daily_Merchant_Pivot!$A$3:$A$32,0),MATCH(C7,Daily_Merchant_Pivot!$B$2:$AO$2,0))</f>
        <v>99</v>
      </c>
      <c r="L7" s="3" t="str">
        <f>INDEX(Merchant_Region_Map!$D$3:$D$42,MATCH(C7,Merchant_Region_Map!$A$3:$A$42,0))</f>
        <v>North</v>
      </c>
      <c r="M7" s="11" t="str">
        <f t="shared" si="1"/>
        <v/>
      </c>
    </row>
    <row r="8" spans="1:13" x14ac:dyDescent="0.25">
      <c r="A8" t="s">
        <v>47</v>
      </c>
      <c r="B8">
        <v>13</v>
      </c>
      <c r="C8">
        <v>13</v>
      </c>
      <c r="D8" s="13" t="str">
        <f>IFERROR(VLOOKUP(C8,[1]Sheet1!$A$1:$C$41,2,0),"Merchant Not Found")</f>
        <v>Merchant_013</v>
      </c>
      <c r="E8" s="7">
        <v>46049.301388888904</v>
      </c>
      <c r="F8">
        <v>99</v>
      </c>
      <c r="G8" s="8" t="s">
        <v>39</v>
      </c>
      <c r="H8" s="8" t="s">
        <v>40</v>
      </c>
      <c r="I8">
        <v>51</v>
      </c>
      <c r="J8" s="9">
        <f t="shared" si="0"/>
        <v>46049</v>
      </c>
      <c r="K8" s="10">
        <f>INDEX(Daily_Merchant_Pivot!$B$3:$AO$32,MATCH(J8,Daily_Merchant_Pivot!$A$3:$A$32,0),MATCH(C8,Daily_Merchant_Pivot!$B$2:$AO$2,0))</f>
        <v>1598</v>
      </c>
      <c r="L8" s="3" t="str">
        <f>INDEX(Merchant_Region_Map!$D$3:$D$42,MATCH(C8,Merchant_Region_Map!$A$3:$A$42,0))</f>
        <v>East</v>
      </c>
      <c r="M8" s="11" t="str">
        <f t="shared" si="1"/>
        <v/>
      </c>
    </row>
    <row r="9" spans="1:13" x14ac:dyDescent="0.25">
      <c r="A9" t="s">
        <v>48</v>
      </c>
      <c r="B9">
        <v>36</v>
      </c>
      <c r="C9">
        <v>18</v>
      </c>
      <c r="D9" s="13" t="str">
        <f>IFERROR(VLOOKUP(C9,[1]Sheet1!$A$1:$C$41,2,0),"Merchant Not Found")</f>
        <v>Merchant_018</v>
      </c>
      <c r="E9" s="7">
        <v>46033.371527777803</v>
      </c>
      <c r="F9">
        <v>799</v>
      </c>
      <c r="G9" s="8" t="s">
        <v>39</v>
      </c>
      <c r="H9" s="8" t="s">
        <v>40</v>
      </c>
      <c r="I9">
        <v>44</v>
      </c>
      <c r="J9" s="9">
        <f t="shared" si="0"/>
        <v>46033</v>
      </c>
      <c r="K9" s="10">
        <f>INDEX(Daily_Merchant_Pivot!$B$3:$AO$32,MATCH(J9,Daily_Merchant_Pivot!$A$3:$A$32,0),MATCH(C9,Daily_Merchant_Pivot!$B$2:$AO$2,0))</f>
        <v>799</v>
      </c>
      <c r="L9" s="3" t="str">
        <f>INDEX(Merchant_Region_Map!$D$3:$D$42,MATCH(C9,Merchant_Region_Map!$A$3:$A$42,0))</f>
        <v>West</v>
      </c>
      <c r="M9" s="11" t="str">
        <f t="shared" si="1"/>
        <v/>
      </c>
    </row>
    <row r="10" spans="1:13" x14ac:dyDescent="0.25">
      <c r="A10" t="s">
        <v>49</v>
      </c>
      <c r="B10">
        <v>348</v>
      </c>
      <c r="C10">
        <v>35</v>
      </c>
      <c r="D10" s="13" t="str">
        <f>IFERROR(VLOOKUP(C10,[1]Sheet1!$A$1:$C$41,2,0),"Merchant Not Found")</f>
        <v>Merchant_035</v>
      </c>
      <c r="E10" s="7">
        <v>46043.684027777803</v>
      </c>
      <c r="F10">
        <v>299</v>
      </c>
      <c r="G10" s="8" t="s">
        <v>39</v>
      </c>
      <c r="H10" s="8" t="s">
        <v>40</v>
      </c>
      <c r="I10">
        <v>42</v>
      </c>
      <c r="J10" s="9">
        <f t="shared" si="0"/>
        <v>46043</v>
      </c>
      <c r="K10" s="10">
        <f>INDEX(Daily_Merchant_Pivot!$B$3:$AO$32,MATCH(J10,Daily_Merchant_Pivot!$A$3:$A$32,0),MATCH(C10,Daily_Merchant_Pivot!$B$2:$AO$2,0))</f>
        <v>299</v>
      </c>
      <c r="L10" s="3" t="str">
        <f>INDEX(Merchant_Region_Map!$D$3:$D$42,MATCH(C10,Merchant_Region_Map!$A$3:$A$42,0))</f>
        <v>East</v>
      </c>
      <c r="M10" s="11" t="str">
        <f t="shared" si="1"/>
        <v/>
      </c>
    </row>
    <row r="11" spans="1:13" x14ac:dyDescent="0.25">
      <c r="A11" t="s">
        <v>50</v>
      </c>
      <c r="B11">
        <v>134</v>
      </c>
      <c r="C11">
        <v>12</v>
      </c>
      <c r="D11" s="13" t="str">
        <f>IFERROR(VLOOKUP(C11,[1]Sheet1!$A$1:$C$41,2,0),"Merchant Not Found")</f>
        <v>Merchant_012</v>
      </c>
      <c r="E11" s="7">
        <v>46023.163888888899</v>
      </c>
      <c r="F11">
        <v>49</v>
      </c>
      <c r="G11" s="8" t="s">
        <v>39</v>
      </c>
      <c r="H11" s="8" t="s">
        <v>40</v>
      </c>
      <c r="I11">
        <v>74</v>
      </c>
      <c r="J11" s="9">
        <f t="shared" si="0"/>
        <v>46023</v>
      </c>
      <c r="K11" s="10">
        <f>INDEX(Daily_Merchant_Pivot!$B$3:$AO$32,MATCH(J11,Daily_Merchant_Pivot!$A$3:$A$32,0),MATCH(C11,Daily_Merchant_Pivot!$B$2:$AO$2,0))</f>
        <v>548</v>
      </c>
      <c r="L11" s="3" t="str">
        <f>INDEX(Merchant_Region_Map!$D$3:$D$42,MATCH(C11,Merchant_Region_Map!$A$3:$A$42,0))</f>
        <v>East</v>
      </c>
      <c r="M11" s="11" t="str">
        <f t="shared" si="1"/>
        <v/>
      </c>
    </row>
    <row r="12" spans="1:13" x14ac:dyDescent="0.25">
      <c r="A12" t="s">
        <v>51</v>
      </c>
      <c r="B12">
        <v>306</v>
      </c>
      <c r="C12">
        <v>28</v>
      </c>
      <c r="D12" s="13" t="str">
        <f>IFERROR(VLOOKUP(C12,[1]Sheet1!$A$1:$C$41,2,0),"Merchant Not Found")</f>
        <v>Merchant_028</v>
      </c>
      <c r="E12" s="7">
        <v>46031.045833333301</v>
      </c>
      <c r="F12">
        <v>2949</v>
      </c>
      <c r="G12" s="8" t="s">
        <v>52</v>
      </c>
      <c r="H12" s="8" t="s">
        <v>53</v>
      </c>
      <c r="I12">
        <v>44</v>
      </c>
      <c r="J12" s="9">
        <f t="shared" si="0"/>
        <v>46031</v>
      </c>
      <c r="K12" s="10">
        <f>INDEX(Daily_Merchant_Pivot!$B$3:$AO$32,MATCH(J12,Daily_Merchant_Pivot!$A$3:$A$32,0),MATCH(C12,Daily_Merchant_Pivot!$B$2:$AO$2,0))</f>
        <v>0</v>
      </c>
      <c r="L12" s="3" t="str">
        <f>INDEX(Merchant_Region_Map!$D$3:$D$42,MATCH(C12,Merchant_Region_Map!$A$3:$A$42,0))</f>
        <v>South</v>
      </c>
      <c r="M12" s="11" t="str">
        <f t="shared" si="1"/>
        <v/>
      </c>
    </row>
    <row r="13" spans="1:13" x14ac:dyDescent="0.25">
      <c r="A13" t="s">
        <v>54</v>
      </c>
      <c r="B13">
        <v>311</v>
      </c>
      <c r="C13">
        <v>33</v>
      </c>
      <c r="D13" s="13" t="str">
        <f>IFERROR(VLOOKUP(C13,[1]Sheet1!$A$1:$C$41,2,0),"Merchant Not Found")</f>
        <v>Merchant_033</v>
      </c>
      <c r="E13" s="7">
        <v>46046.435416666704</v>
      </c>
      <c r="F13">
        <v>49</v>
      </c>
      <c r="G13" s="8" t="s">
        <v>42</v>
      </c>
      <c r="H13" s="8" t="s">
        <v>40</v>
      </c>
      <c r="I13">
        <v>14</v>
      </c>
      <c r="J13" s="9">
        <f t="shared" si="0"/>
        <v>46046</v>
      </c>
      <c r="K13" s="10">
        <f>INDEX(Daily_Merchant_Pivot!$B$3:$AO$32,MATCH(J13,Daily_Merchant_Pivot!$A$3:$A$32,0),MATCH(C13,Daily_Merchant_Pivot!$B$2:$AO$2,0))</f>
        <v>49</v>
      </c>
      <c r="L13" s="3" t="str">
        <f>INDEX(Merchant_Region_Map!$D$3:$D$42,MATCH(C13,Merchant_Region_Map!$A$3:$A$42,0))</f>
        <v>East</v>
      </c>
      <c r="M13" s="11" t="str">
        <f t="shared" si="1"/>
        <v/>
      </c>
    </row>
    <row r="14" spans="1:13" x14ac:dyDescent="0.25">
      <c r="A14" t="s">
        <v>55</v>
      </c>
      <c r="B14">
        <v>131</v>
      </c>
      <c r="C14">
        <v>3</v>
      </c>
      <c r="D14" s="13" t="str">
        <f>IFERROR(VLOOKUP(C14,[1]Sheet1!$A$1:$C$41,2,0),"Merchant Not Found")</f>
        <v>Merchant_003</v>
      </c>
      <c r="E14" s="7">
        <v>46035.758333333302</v>
      </c>
      <c r="F14">
        <v>49</v>
      </c>
      <c r="G14" s="8" t="s">
        <v>39</v>
      </c>
      <c r="H14" s="8" t="s">
        <v>40</v>
      </c>
      <c r="I14">
        <v>90</v>
      </c>
      <c r="J14" s="9">
        <f t="shared" si="0"/>
        <v>46035</v>
      </c>
      <c r="K14" s="10">
        <f>INDEX(Daily_Merchant_Pivot!$B$3:$AO$32,MATCH(J14,Daily_Merchant_Pivot!$A$3:$A$32,0),MATCH(C14,Daily_Merchant_Pivot!$B$2:$AO$2,0))</f>
        <v>49</v>
      </c>
      <c r="L14" s="3" t="str">
        <f>INDEX(Merchant_Region_Map!$D$3:$D$42,MATCH(C14,Merchant_Region_Map!$A$3:$A$42,0))</f>
        <v>East</v>
      </c>
      <c r="M14" s="11" t="str">
        <f t="shared" si="1"/>
        <v/>
      </c>
    </row>
    <row r="15" spans="1:13" x14ac:dyDescent="0.25">
      <c r="A15" t="s">
        <v>56</v>
      </c>
      <c r="B15">
        <v>276</v>
      </c>
      <c r="C15">
        <v>13</v>
      </c>
      <c r="D15" s="13" t="str">
        <f>IFERROR(VLOOKUP(C15,[1]Sheet1!$A$1:$C$41,2,0),"Merchant Not Found")</f>
        <v>Merchant_013</v>
      </c>
      <c r="E15" s="7">
        <v>46036.022916666698</v>
      </c>
      <c r="F15">
        <v>1499</v>
      </c>
      <c r="G15" s="8" t="s">
        <v>39</v>
      </c>
      <c r="H15" s="8" t="s">
        <v>40</v>
      </c>
      <c r="I15">
        <v>46</v>
      </c>
      <c r="J15" s="9">
        <f t="shared" si="0"/>
        <v>46036</v>
      </c>
      <c r="K15" s="10">
        <f>INDEX(Daily_Merchant_Pivot!$B$3:$AO$32,MATCH(J15,Daily_Merchant_Pivot!$A$3:$A$32,0),MATCH(C15,Daily_Merchant_Pivot!$B$2:$AO$2,0))</f>
        <v>1499</v>
      </c>
      <c r="L15" s="3" t="str">
        <f>INDEX(Merchant_Region_Map!$D$3:$D$42,MATCH(C15,Merchant_Region_Map!$A$3:$A$42,0))</f>
        <v>East</v>
      </c>
      <c r="M15" s="11" t="str">
        <f t="shared" si="1"/>
        <v/>
      </c>
    </row>
    <row r="16" spans="1:13" x14ac:dyDescent="0.25">
      <c r="A16" t="s">
        <v>57</v>
      </c>
      <c r="B16">
        <v>170</v>
      </c>
      <c r="C16">
        <v>40</v>
      </c>
      <c r="D16" s="13" t="str">
        <f>IFERROR(VLOOKUP(C16,[1]Sheet1!$A$1:$C$41,2,0),"Merchant Not Found")</f>
        <v>Merchant_040</v>
      </c>
      <c r="E16" s="7">
        <v>46036.112500000003</v>
      </c>
      <c r="F16">
        <v>99</v>
      </c>
      <c r="G16" s="8" t="s">
        <v>39</v>
      </c>
      <c r="H16" s="8" t="s">
        <v>40</v>
      </c>
      <c r="I16">
        <v>40</v>
      </c>
      <c r="J16" s="9">
        <f t="shared" si="0"/>
        <v>46036</v>
      </c>
      <c r="K16" s="10">
        <f>INDEX(Daily_Merchant_Pivot!$B$3:$AO$32,MATCH(J16,Daily_Merchant_Pivot!$A$3:$A$32,0),MATCH(C16,Daily_Merchant_Pivot!$B$2:$AO$2,0))</f>
        <v>99</v>
      </c>
      <c r="L16" s="3" t="str">
        <f>INDEX(Merchant_Region_Map!$D$3:$D$42,MATCH(C16,Merchant_Region_Map!$A$3:$A$42,0))</f>
        <v>South</v>
      </c>
      <c r="M16" s="11" t="str">
        <f t="shared" si="1"/>
        <v/>
      </c>
    </row>
    <row r="17" spans="1:13" x14ac:dyDescent="0.25">
      <c r="A17" t="s">
        <v>58</v>
      </c>
      <c r="B17">
        <v>154</v>
      </c>
      <c r="C17">
        <v>33</v>
      </c>
      <c r="D17" s="13" t="str">
        <f>IFERROR(VLOOKUP(C17,[1]Sheet1!$A$1:$C$41,2,0),"Merchant Not Found")</f>
        <v>Merchant_033</v>
      </c>
      <c r="E17" s="7">
        <v>46044.156944444498</v>
      </c>
      <c r="F17">
        <v>99</v>
      </c>
      <c r="G17" s="8" t="s">
        <v>44</v>
      </c>
      <c r="H17" s="8" t="s">
        <v>40</v>
      </c>
      <c r="I17">
        <v>39</v>
      </c>
      <c r="J17" s="9">
        <f t="shared" si="0"/>
        <v>46044</v>
      </c>
      <c r="K17" s="10">
        <f>INDEX(Daily_Merchant_Pivot!$B$3:$AO$32,MATCH(J17,Daily_Merchant_Pivot!$A$3:$A$32,0),MATCH(C17,Daily_Merchant_Pivot!$B$2:$AO$2,0))</f>
        <v>99</v>
      </c>
      <c r="L17" s="3" t="str">
        <f>INDEX(Merchant_Region_Map!$D$3:$D$42,MATCH(C17,Merchant_Region_Map!$A$3:$A$42,0))</f>
        <v>East</v>
      </c>
      <c r="M17" s="11" t="str">
        <f t="shared" si="1"/>
        <v/>
      </c>
    </row>
    <row r="18" spans="1:13" x14ac:dyDescent="0.25">
      <c r="A18" t="s">
        <v>59</v>
      </c>
      <c r="B18">
        <v>207</v>
      </c>
      <c r="C18">
        <v>19</v>
      </c>
      <c r="D18" s="13" t="str">
        <f>IFERROR(VLOOKUP(C18,[1]Sheet1!$A$1:$C$41,2,0),"Merchant Not Found")</f>
        <v>Merchant_019</v>
      </c>
      <c r="E18" s="7">
        <v>46044.555555555598</v>
      </c>
      <c r="F18">
        <v>2999</v>
      </c>
      <c r="G18" s="8" t="s">
        <v>52</v>
      </c>
      <c r="H18" s="8" t="s">
        <v>40</v>
      </c>
      <c r="I18">
        <v>70</v>
      </c>
      <c r="J18" s="9">
        <f t="shared" si="0"/>
        <v>46044</v>
      </c>
      <c r="K18" s="10">
        <f>INDEX(Daily_Merchant_Pivot!$B$3:$AO$32,MATCH(J18,Daily_Merchant_Pivot!$A$3:$A$32,0),MATCH(C18,Daily_Merchant_Pivot!$B$2:$AO$2,0))</f>
        <v>2999</v>
      </c>
      <c r="L18" s="3" t="str">
        <f>INDEX(Merchant_Region_Map!$D$3:$D$42,MATCH(C18,Merchant_Region_Map!$A$3:$A$42,0))</f>
        <v>North</v>
      </c>
      <c r="M18" s="11" t="str">
        <f t="shared" si="1"/>
        <v/>
      </c>
    </row>
    <row r="19" spans="1:13" x14ac:dyDescent="0.25">
      <c r="A19" t="s">
        <v>60</v>
      </c>
      <c r="B19">
        <v>341</v>
      </c>
      <c r="C19">
        <v>25</v>
      </c>
      <c r="D19" s="13" t="str">
        <f>IFERROR(VLOOKUP(C19,[1]Sheet1!$A$1:$C$41,2,0),"Merchant Not Found")</f>
        <v>Merchant_025</v>
      </c>
      <c r="E19" s="7">
        <v>46027.2680555556</v>
      </c>
      <c r="F19">
        <v>2999</v>
      </c>
      <c r="G19" s="8" t="s">
        <v>39</v>
      </c>
      <c r="H19" s="8" t="s">
        <v>40</v>
      </c>
      <c r="I19">
        <v>86</v>
      </c>
      <c r="J19" s="9">
        <f t="shared" si="0"/>
        <v>46027</v>
      </c>
      <c r="K19" s="10">
        <f>INDEX(Daily_Merchant_Pivot!$B$3:$AO$32,MATCH(J19,Daily_Merchant_Pivot!$A$3:$A$32,0),MATCH(C19,Daily_Merchant_Pivot!$B$2:$AO$2,0))</f>
        <v>4498</v>
      </c>
      <c r="L19" s="3" t="str">
        <f>INDEX(Merchant_Region_Map!$D$3:$D$42,MATCH(C19,Merchant_Region_Map!$A$3:$A$42,0))</f>
        <v>South</v>
      </c>
      <c r="M19" s="11" t="str">
        <f t="shared" si="1"/>
        <v/>
      </c>
    </row>
    <row r="20" spans="1:13" x14ac:dyDescent="0.25">
      <c r="A20" t="s">
        <v>61</v>
      </c>
      <c r="B20">
        <v>292</v>
      </c>
      <c r="C20">
        <v>20</v>
      </c>
      <c r="D20" s="13" t="str">
        <f>IFERROR(VLOOKUP(C20,[1]Sheet1!$A$1:$C$41,2,0),"Merchant Not Found")</f>
        <v>Merchant_020</v>
      </c>
      <c r="E20" s="7">
        <v>46046.235416666699</v>
      </c>
      <c r="F20">
        <v>99</v>
      </c>
      <c r="G20" s="8" t="s">
        <v>39</v>
      </c>
      <c r="H20" s="8" t="s">
        <v>40</v>
      </c>
      <c r="I20">
        <v>51</v>
      </c>
      <c r="J20" s="9">
        <f t="shared" si="0"/>
        <v>46046</v>
      </c>
      <c r="K20" s="10">
        <f>INDEX(Daily_Merchant_Pivot!$B$3:$AO$32,MATCH(J20,Daily_Merchant_Pivot!$A$3:$A$32,0),MATCH(C20,Daily_Merchant_Pivot!$B$2:$AO$2,0))</f>
        <v>99</v>
      </c>
      <c r="L20" s="3" t="str">
        <f>INDEX(Merchant_Region_Map!$D$3:$D$42,MATCH(C20,Merchant_Region_Map!$A$3:$A$42,0))</f>
        <v>East</v>
      </c>
      <c r="M20" s="11" t="str">
        <f t="shared" si="1"/>
        <v/>
      </c>
    </row>
    <row r="21" spans="1:13" x14ac:dyDescent="0.25">
      <c r="A21" t="s">
        <v>62</v>
      </c>
      <c r="B21">
        <v>147</v>
      </c>
      <c r="C21">
        <v>14</v>
      </c>
      <c r="D21" s="13" t="str">
        <f>IFERROR(VLOOKUP(C21,[1]Sheet1!$A$1:$C$41,2,0),"Merchant Not Found")</f>
        <v>Merchant_014</v>
      </c>
      <c r="E21" s="7">
        <v>46040.0131944444</v>
      </c>
      <c r="F21">
        <v>99</v>
      </c>
      <c r="G21" s="8" t="s">
        <v>52</v>
      </c>
      <c r="H21" s="8" t="s">
        <v>40</v>
      </c>
      <c r="I21">
        <v>55</v>
      </c>
      <c r="J21" s="9">
        <f t="shared" si="0"/>
        <v>46040</v>
      </c>
      <c r="K21" s="10">
        <f>INDEX(Daily_Merchant_Pivot!$B$3:$AO$32,MATCH(J21,Daily_Merchant_Pivot!$A$3:$A$32,0),MATCH(C21,Daily_Merchant_Pivot!$B$2:$AO$2,0))</f>
        <v>99</v>
      </c>
      <c r="L21" s="3" t="str">
        <f>INDEX(Merchant_Region_Map!$D$3:$D$42,MATCH(C21,Merchant_Region_Map!$A$3:$A$42,0))</f>
        <v>East</v>
      </c>
      <c r="M21" s="11" t="str">
        <f t="shared" si="1"/>
        <v/>
      </c>
    </row>
    <row r="22" spans="1:13" x14ac:dyDescent="0.25">
      <c r="A22" t="s">
        <v>63</v>
      </c>
      <c r="B22">
        <v>336</v>
      </c>
      <c r="C22">
        <v>21</v>
      </c>
      <c r="D22" s="13" t="str">
        <f>IFERROR(VLOOKUP(C22,[1]Sheet1!$A$1:$C$41,2,0),"Merchant Not Found")</f>
        <v>Merchant_021</v>
      </c>
      <c r="E22" s="7">
        <v>46048.776388888902</v>
      </c>
      <c r="F22">
        <v>99</v>
      </c>
      <c r="G22" s="8" t="s">
        <v>39</v>
      </c>
      <c r="H22" s="8" t="s">
        <v>40</v>
      </c>
      <c r="I22">
        <v>59</v>
      </c>
      <c r="J22" s="9">
        <f t="shared" si="0"/>
        <v>46048</v>
      </c>
      <c r="K22" s="10">
        <f>INDEX(Daily_Merchant_Pivot!$B$3:$AO$32,MATCH(J22,Daily_Merchant_Pivot!$A$3:$A$32,0),MATCH(C22,Daily_Merchant_Pivot!$B$2:$AO$2,0))</f>
        <v>99</v>
      </c>
      <c r="L22" s="3" t="str">
        <f>INDEX(Merchant_Region_Map!$D$3:$D$42,MATCH(C22,Merchant_Region_Map!$A$3:$A$42,0))</f>
        <v>East</v>
      </c>
      <c r="M22" s="11" t="str">
        <f t="shared" si="1"/>
        <v/>
      </c>
    </row>
    <row r="23" spans="1:13" x14ac:dyDescent="0.25">
      <c r="A23" t="s">
        <v>64</v>
      </c>
      <c r="B23">
        <v>110</v>
      </c>
      <c r="C23">
        <v>33</v>
      </c>
      <c r="D23" s="13" t="str">
        <f>IFERROR(VLOOKUP(C23,[1]Sheet1!$A$1:$C$41,2,0),"Merchant Not Found")</f>
        <v>Merchant_033</v>
      </c>
      <c r="E23" s="7">
        <v>46037.613194444399</v>
      </c>
      <c r="F23">
        <v>799</v>
      </c>
      <c r="G23" s="8" t="s">
        <v>39</v>
      </c>
      <c r="H23" s="8" t="s">
        <v>40</v>
      </c>
      <c r="I23">
        <v>60</v>
      </c>
      <c r="J23" s="9">
        <f t="shared" si="0"/>
        <v>46037</v>
      </c>
      <c r="K23" s="10">
        <f>INDEX(Daily_Merchant_Pivot!$B$3:$AO$32,MATCH(J23,Daily_Merchant_Pivot!$A$3:$A$32,0),MATCH(C23,Daily_Merchant_Pivot!$B$2:$AO$2,0))</f>
        <v>799</v>
      </c>
      <c r="L23" s="3" t="str">
        <f>INDEX(Merchant_Region_Map!$D$3:$D$42,MATCH(C23,Merchant_Region_Map!$A$3:$A$42,0))</f>
        <v>East</v>
      </c>
      <c r="M23" s="11" t="str">
        <f t="shared" si="1"/>
        <v/>
      </c>
    </row>
    <row r="24" spans="1:13" x14ac:dyDescent="0.25">
      <c r="A24" t="s">
        <v>65</v>
      </c>
      <c r="B24">
        <v>338</v>
      </c>
      <c r="C24">
        <v>6</v>
      </c>
      <c r="D24" s="13" t="str">
        <f>IFERROR(VLOOKUP(C24,[1]Sheet1!$A$1:$C$41,2,0),"Merchant Not Found")</f>
        <v>Merchant_006</v>
      </c>
      <c r="E24" s="7">
        <v>46048.965277777803</v>
      </c>
      <c r="F24">
        <v>799</v>
      </c>
      <c r="G24" s="8" t="s">
        <v>39</v>
      </c>
      <c r="H24" s="8" t="s">
        <v>66</v>
      </c>
      <c r="I24">
        <v>36</v>
      </c>
      <c r="J24" s="9">
        <f t="shared" si="0"/>
        <v>46048</v>
      </c>
      <c r="K24" s="10">
        <f>INDEX(Daily_Merchant_Pivot!$B$3:$AO$32,MATCH(J24,Daily_Merchant_Pivot!$A$3:$A$32,0),MATCH(C24,Daily_Merchant_Pivot!$B$2:$AO$2,0))</f>
        <v>49</v>
      </c>
      <c r="L24" s="3" t="str">
        <f>INDEX(Merchant_Region_Map!$D$3:$D$42,MATCH(C24,Merchant_Region_Map!$A$3:$A$42,0))</f>
        <v>South</v>
      </c>
      <c r="M24" s="11" t="str">
        <f t="shared" si="1"/>
        <v/>
      </c>
    </row>
    <row r="25" spans="1:13" x14ac:dyDescent="0.25">
      <c r="A25" t="s">
        <v>67</v>
      </c>
      <c r="B25">
        <v>318</v>
      </c>
      <c r="C25">
        <v>22</v>
      </c>
      <c r="D25" s="13" t="str">
        <f>IFERROR(VLOOKUP(C25,[1]Sheet1!$A$1:$C$41,2,0),"Merchant Not Found")</f>
        <v>Merchant_022</v>
      </c>
      <c r="E25" s="7">
        <v>46039.902777777803</v>
      </c>
      <c r="F25">
        <v>799</v>
      </c>
      <c r="G25" s="8" t="s">
        <v>42</v>
      </c>
      <c r="H25" s="8" t="s">
        <v>40</v>
      </c>
      <c r="I25">
        <v>11</v>
      </c>
      <c r="J25" s="9">
        <f t="shared" si="0"/>
        <v>46039</v>
      </c>
      <c r="K25" s="10">
        <f>INDEX(Daily_Merchant_Pivot!$B$3:$AO$32,MATCH(J25,Daily_Merchant_Pivot!$A$3:$A$32,0),MATCH(C25,Daily_Merchant_Pivot!$B$2:$AO$2,0))</f>
        <v>1598</v>
      </c>
      <c r="L25" s="3" t="str">
        <f>INDEX(Merchant_Region_Map!$D$3:$D$42,MATCH(C25,Merchant_Region_Map!$A$3:$A$42,0))</f>
        <v>South</v>
      </c>
      <c r="M25" s="11" t="str">
        <f t="shared" si="1"/>
        <v/>
      </c>
    </row>
    <row r="26" spans="1:13" x14ac:dyDescent="0.25">
      <c r="A26" t="s">
        <v>68</v>
      </c>
      <c r="B26">
        <v>159</v>
      </c>
      <c r="C26">
        <v>15</v>
      </c>
      <c r="D26" s="13" t="str">
        <f>IFERROR(VLOOKUP(C26,[1]Sheet1!$A$1:$C$41,2,0),"Merchant Not Found")</f>
        <v>Merchant_015</v>
      </c>
      <c r="E26" s="7">
        <v>46049.3215277778</v>
      </c>
      <c r="F26">
        <v>799</v>
      </c>
      <c r="G26" s="8" t="s">
        <v>39</v>
      </c>
      <c r="H26" s="8" t="s">
        <v>40</v>
      </c>
      <c r="I26">
        <v>25</v>
      </c>
      <c r="J26" s="9">
        <f t="shared" si="0"/>
        <v>46049</v>
      </c>
      <c r="K26" s="10">
        <f>INDEX(Daily_Merchant_Pivot!$B$3:$AO$32,MATCH(J26,Daily_Merchant_Pivot!$A$3:$A$32,0),MATCH(C26,Daily_Merchant_Pivot!$B$2:$AO$2,0))</f>
        <v>799</v>
      </c>
      <c r="L26" s="3" t="str">
        <f>INDEX(Merchant_Region_Map!$D$3:$D$42,MATCH(C26,Merchant_Region_Map!$A$3:$A$42,0))</f>
        <v>North</v>
      </c>
      <c r="M26" s="11" t="str">
        <f t="shared" si="1"/>
        <v/>
      </c>
    </row>
    <row r="27" spans="1:13" x14ac:dyDescent="0.25">
      <c r="A27" t="s">
        <v>69</v>
      </c>
      <c r="B27">
        <v>126</v>
      </c>
      <c r="C27">
        <v>31</v>
      </c>
      <c r="D27" s="13" t="str">
        <f>IFERROR(VLOOKUP(C27,[1]Sheet1!$A$1:$C$41,2,0),"Merchant Not Found")</f>
        <v>Merchant_031</v>
      </c>
      <c r="E27" s="7">
        <v>46027.001388888901</v>
      </c>
      <c r="F27">
        <v>49</v>
      </c>
      <c r="G27" s="8" t="s">
        <v>52</v>
      </c>
      <c r="H27" s="8" t="s">
        <v>40</v>
      </c>
      <c r="I27">
        <v>78</v>
      </c>
      <c r="J27" s="9">
        <f t="shared" si="0"/>
        <v>46027</v>
      </c>
      <c r="K27" s="10">
        <f>INDEX(Daily_Merchant_Pivot!$B$3:$AO$32,MATCH(J27,Daily_Merchant_Pivot!$A$3:$A$32,0),MATCH(C27,Daily_Merchant_Pivot!$B$2:$AO$2,0))</f>
        <v>49</v>
      </c>
      <c r="L27" s="3" t="str">
        <f>INDEX(Merchant_Region_Map!$D$3:$D$42,MATCH(C27,Merchant_Region_Map!$A$3:$A$42,0))</f>
        <v>East</v>
      </c>
      <c r="M27" s="11" t="str">
        <f t="shared" si="1"/>
        <v/>
      </c>
    </row>
    <row r="28" spans="1:13" x14ac:dyDescent="0.25">
      <c r="A28" t="s">
        <v>70</v>
      </c>
      <c r="B28">
        <v>213</v>
      </c>
      <c r="C28">
        <v>37</v>
      </c>
      <c r="D28" s="13" t="str">
        <f>IFERROR(VLOOKUP(C28,[1]Sheet1!$A$1:$C$41,2,0),"Merchant Not Found")</f>
        <v>Merchant_037</v>
      </c>
      <c r="E28" s="7">
        <v>46050.103472222203</v>
      </c>
      <c r="F28">
        <v>99</v>
      </c>
      <c r="G28" s="8" t="s">
        <v>39</v>
      </c>
      <c r="H28" s="8" t="s">
        <v>40</v>
      </c>
      <c r="I28">
        <v>24</v>
      </c>
      <c r="J28" s="9">
        <f t="shared" si="0"/>
        <v>46050</v>
      </c>
      <c r="K28" s="10">
        <f>INDEX(Daily_Merchant_Pivot!$B$3:$AO$32,MATCH(J28,Daily_Merchant_Pivot!$A$3:$A$32,0),MATCH(C28,Daily_Merchant_Pivot!$B$2:$AO$2,0))</f>
        <v>99</v>
      </c>
      <c r="L28" s="3" t="str">
        <f>INDEX(Merchant_Region_Map!$D$3:$D$42,MATCH(C28,Merchant_Region_Map!$A$3:$A$42,0))</f>
        <v>South</v>
      </c>
      <c r="M28" s="11" t="str">
        <f t="shared" si="1"/>
        <v/>
      </c>
    </row>
    <row r="29" spans="1:13" x14ac:dyDescent="0.25">
      <c r="A29" t="s">
        <v>71</v>
      </c>
      <c r="B29">
        <v>254</v>
      </c>
      <c r="C29">
        <v>26</v>
      </c>
      <c r="D29" s="13" t="str">
        <f>IFERROR(VLOOKUP(C29,[1]Sheet1!$A$1:$C$41,2,0),"Merchant Not Found")</f>
        <v>Merchant_026</v>
      </c>
      <c r="E29" s="7">
        <v>46045.933333333298</v>
      </c>
      <c r="F29">
        <v>99</v>
      </c>
      <c r="G29" s="8" t="s">
        <v>42</v>
      </c>
      <c r="H29" s="8" t="s">
        <v>40</v>
      </c>
      <c r="I29">
        <v>31</v>
      </c>
      <c r="J29" s="9">
        <f t="shared" si="0"/>
        <v>46045</v>
      </c>
      <c r="K29" s="10">
        <f>INDEX(Daily_Merchant_Pivot!$B$3:$AO$32,MATCH(J29,Daily_Merchant_Pivot!$A$3:$A$32,0),MATCH(C29,Daily_Merchant_Pivot!$B$2:$AO$2,0))</f>
        <v>99</v>
      </c>
      <c r="L29" s="3" t="str">
        <f>INDEX(Merchant_Region_Map!$D$3:$D$42,MATCH(C29,Merchant_Region_Map!$A$3:$A$42,0))</f>
        <v>East</v>
      </c>
      <c r="M29" s="11" t="str">
        <f t="shared" si="1"/>
        <v/>
      </c>
    </row>
    <row r="30" spans="1:13" x14ac:dyDescent="0.25">
      <c r="A30" t="s">
        <v>72</v>
      </c>
      <c r="B30">
        <v>3</v>
      </c>
      <c r="C30">
        <v>7</v>
      </c>
      <c r="D30" s="13" t="str">
        <f>IFERROR(VLOOKUP(C30,[1]Sheet1!$A$1:$C$41,2,0),"Merchant Not Found")</f>
        <v>Merchant_007</v>
      </c>
      <c r="E30" s="7">
        <v>46027.863888888904</v>
      </c>
      <c r="F30">
        <v>1499</v>
      </c>
      <c r="G30" s="8" t="s">
        <v>39</v>
      </c>
      <c r="H30" s="8" t="s">
        <v>40</v>
      </c>
      <c r="I30">
        <v>99</v>
      </c>
      <c r="J30" s="9">
        <f t="shared" si="0"/>
        <v>46027</v>
      </c>
      <c r="K30" s="10">
        <f>INDEX(Daily_Merchant_Pivot!$B$3:$AO$32,MATCH(J30,Daily_Merchant_Pivot!$A$3:$A$32,0),MATCH(C30,Daily_Merchant_Pivot!$B$2:$AO$2,0))</f>
        <v>4498</v>
      </c>
      <c r="L30" s="3" t="str">
        <f>INDEX(Merchant_Region_Map!$D$3:$D$42,MATCH(C30,Merchant_Region_Map!$A$3:$A$42,0))</f>
        <v>East</v>
      </c>
      <c r="M30" s="11" t="str">
        <f t="shared" si="1"/>
        <v/>
      </c>
    </row>
    <row r="31" spans="1:13" x14ac:dyDescent="0.25">
      <c r="A31" t="s">
        <v>73</v>
      </c>
      <c r="B31">
        <v>266</v>
      </c>
      <c r="C31">
        <v>30</v>
      </c>
      <c r="D31" s="13" t="str">
        <f>IFERROR(VLOOKUP(C31,[1]Sheet1!$A$1:$C$41,2,0),"Merchant Not Found")</f>
        <v>Merchant_030</v>
      </c>
      <c r="E31" s="7">
        <v>46036.2993055556</v>
      </c>
      <c r="F31">
        <v>499</v>
      </c>
      <c r="G31" s="8" t="s">
        <v>52</v>
      </c>
      <c r="H31" s="8" t="s">
        <v>40</v>
      </c>
      <c r="I31">
        <v>6</v>
      </c>
      <c r="J31" s="9">
        <f t="shared" si="0"/>
        <v>46036</v>
      </c>
      <c r="K31" s="10">
        <f>INDEX(Daily_Merchant_Pivot!$B$3:$AO$32,MATCH(J31,Daily_Merchant_Pivot!$A$3:$A$32,0),MATCH(C31,Daily_Merchant_Pivot!$B$2:$AO$2,0))</f>
        <v>2497</v>
      </c>
      <c r="L31" s="3" t="str">
        <f>INDEX(Merchant_Region_Map!$D$3:$D$42,MATCH(C31,Merchant_Region_Map!$A$3:$A$42,0))</f>
        <v>West</v>
      </c>
      <c r="M31" s="11" t="str">
        <f t="shared" si="1"/>
        <v/>
      </c>
    </row>
    <row r="32" spans="1:13" x14ac:dyDescent="0.25">
      <c r="A32" t="s">
        <v>74</v>
      </c>
      <c r="B32">
        <v>63</v>
      </c>
      <c r="C32">
        <v>30</v>
      </c>
      <c r="D32" s="13" t="str">
        <f>IFERROR(VLOOKUP(C32,[1]Sheet1!$A$1:$C$41,2,0),"Merchant Not Found")</f>
        <v>Merchant_030</v>
      </c>
      <c r="E32" s="7">
        <v>46040.331944444399</v>
      </c>
      <c r="F32">
        <v>799</v>
      </c>
      <c r="G32" s="8" t="s">
        <v>39</v>
      </c>
      <c r="H32" s="8" t="s">
        <v>40</v>
      </c>
      <c r="I32">
        <v>17</v>
      </c>
      <c r="J32" s="9">
        <f t="shared" si="0"/>
        <v>46040</v>
      </c>
      <c r="K32" s="10">
        <f>INDEX(Daily_Merchant_Pivot!$B$3:$AO$32,MATCH(J32,Daily_Merchant_Pivot!$A$3:$A$32,0),MATCH(C32,Daily_Merchant_Pivot!$B$2:$AO$2,0))</f>
        <v>799</v>
      </c>
      <c r="L32" s="3" t="str">
        <f>INDEX(Merchant_Region_Map!$D$3:$D$42,MATCH(C32,Merchant_Region_Map!$A$3:$A$42,0))</f>
        <v>West</v>
      </c>
      <c r="M32" s="11" t="str">
        <f t="shared" si="1"/>
        <v/>
      </c>
    </row>
    <row r="33" spans="1:13" x14ac:dyDescent="0.25">
      <c r="A33" t="s">
        <v>75</v>
      </c>
      <c r="B33">
        <v>272</v>
      </c>
      <c r="C33">
        <v>36</v>
      </c>
      <c r="D33" s="13" t="str">
        <f>IFERROR(VLOOKUP(C33,[1]Sheet1!$A$1:$C$41,2,0),"Merchant Not Found")</f>
        <v>Merchant_036</v>
      </c>
      <c r="E33" s="7">
        <v>46048.612500000003</v>
      </c>
      <c r="F33">
        <v>149</v>
      </c>
      <c r="G33" s="8" t="s">
        <v>39</v>
      </c>
      <c r="H33" s="8" t="s">
        <v>40</v>
      </c>
      <c r="I33">
        <v>76</v>
      </c>
      <c r="J33" s="9">
        <f t="shared" si="0"/>
        <v>46048</v>
      </c>
      <c r="K33" s="10">
        <f>INDEX(Daily_Merchant_Pivot!$B$3:$AO$32,MATCH(J33,Daily_Merchant_Pivot!$A$3:$A$32,0),MATCH(C33,Daily_Merchant_Pivot!$B$2:$AO$2,0))</f>
        <v>198</v>
      </c>
      <c r="L33" s="3" t="str">
        <f>INDEX(Merchant_Region_Map!$D$3:$D$42,MATCH(C33,Merchant_Region_Map!$A$3:$A$42,0))</f>
        <v>East</v>
      </c>
      <c r="M33" s="11" t="str">
        <f t="shared" si="1"/>
        <v/>
      </c>
    </row>
    <row r="34" spans="1:13" x14ac:dyDescent="0.25">
      <c r="A34" t="s">
        <v>76</v>
      </c>
      <c r="B34">
        <v>259</v>
      </c>
      <c r="C34">
        <v>28</v>
      </c>
      <c r="D34" s="13" t="str">
        <f>IFERROR(VLOOKUP(C34,[1]Sheet1!$A$1:$C$41,2,0),"Merchant Not Found")</f>
        <v>Merchant_028</v>
      </c>
      <c r="E34" s="7">
        <v>46033.610416666699</v>
      </c>
      <c r="F34">
        <v>49</v>
      </c>
      <c r="G34" s="8" t="s">
        <v>42</v>
      </c>
      <c r="H34" s="8" t="s">
        <v>40</v>
      </c>
      <c r="I34">
        <v>70</v>
      </c>
      <c r="J34" s="9">
        <f t="shared" si="0"/>
        <v>46033</v>
      </c>
      <c r="K34" s="10">
        <f>INDEX(Daily_Merchant_Pivot!$B$3:$AO$32,MATCH(J34,Daily_Merchant_Pivot!$A$3:$A$32,0),MATCH(C34,Daily_Merchant_Pivot!$B$2:$AO$2,0))</f>
        <v>49</v>
      </c>
      <c r="L34" s="3" t="str">
        <f>INDEX(Merchant_Region_Map!$D$3:$D$42,MATCH(C34,Merchant_Region_Map!$A$3:$A$42,0))</f>
        <v>South</v>
      </c>
      <c r="M34" s="11" t="str">
        <f t="shared" si="1"/>
        <v/>
      </c>
    </row>
    <row r="35" spans="1:13" x14ac:dyDescent="0.25">
      <c r="A35" t="s">
        <v>77</v>
      </c>
      <c r="B35">
        <v>244</v>
      </c>
      <c r="C35">
        <v>29</v>
      </c>
      <c r="D35" s="13" t="str">
        <f>IFERROR(VLOOKUP(C35,[1]Sheet1!$A$1:$C$41,2,0),"Merchant Not Found")</f>
        <v>Merchant_029</v>
      </c>
      <c r="E35" s="7">
        <v>46037.2409722222</v>
      </c>
      <c r="F35">
        <v>299</v>
      </c>
      <c r="G35" s="8" t="s">
        <v>44</v>
      </c>
      <c r="H35" s="8" t="s">
        <v>40</v>
      </c>
      <c r="I35">
        <v>33</v>
      </c>
      <c r="J35" s="9">
        <f t="shared" si="0"/>
        <v>46037</v>
      </c>
      <c r="K35" s="10">
        <f>INDEX(Daily_Merchant_Pivot!$B$3:$AO$32,MATCH(J35,Daily_Merchant_Pivot!$A$3:$A$32,0),MATCH(C35,Daily_Merchant_Pivot!$B$2:$AO$2,0))</f>
        <v>1098</v>
      </c>
      <c r="L35" s="3" t="str">
        <f>INDEX(Merchant_Region_Map!$D$3:$D$42,MATCH(C35,Merchant_Region_Map!$A$3:$A$42,0))</f>
        <v>North</v>
      </c>
      <c r="M35" s="11" t="str">
        <f t="shared" si="1"/>
        <v/>
      </c>
    </row>
    <row r="36" spans="1:13" x14ac:dyDescent="0.25">
      <c r="A36" t="s">
        <v>78</v>
      </c>
      <c r="B36">
        <v>327</v>
      </c>
      <c r="C36">
        <v>18</v>
      </c>
      <c r="D36" s="13" t="str">
        <f>IFERROR(VLOOKUP(C36,[1]Sheet1!$A$1:$C$41,2,0),"Merchant Not Found")</f>
        <v>Merchant_018</v>
      </c>
      <c r="E36" s="7">
        <v>46047.328472222202</v>
      </c>
      <c r="F36">
        <v>149</v>
      </c>
      <c r="G36" s="8" t="s">
        <v>52</v>
      </c>
      <c r="H36" s="8" t="s">
        <v>40</v>
      </c>
      <c r="I36">
        <v>98</v>
      </c>
      <c r="J36" s="9">
        <f t="shared" si="0"/>
        <v>46047</v>
      </c>
      <c r="K36" s="10">
        <f>INDEX(Daily_Merchant_Pivot!$B$3:$AO$32,MATCH(J36,Daily_Merchant_Pivot!$A$3:$A$32,0),MATCH(C36,Daily_Merchant_Pivot!$B$2:$AO$2,0))</f>
        <v>6647</v>
      </c>
      <c r="L36" s="3" t="str">
        <f>INDEX(Merchant_Region_Map!$D$3:$D$42,MATCH(C36,Merchant_Region_Map!$A$3:$A$42,0))</f>
        <v>West</v>
      </c>
      <c r="M36" s="11" t="str">
        <f t="shared" si="1"/>
        <v>High-Value Merchant Day</v>
      </c>
    </row>
    <row r="37" spans="1:13" x14ac:dyDescent="0.25">
      <c r="A37" t="s">
        <v>79</v>
      </c>
      <c r="B37">
        <v>147</v>
      </c>
      <c r="C37">
        <v>16</v>
      </c>
      <c r="D37" s="13" t="str">
        <f>IFERROR(VLOOKUP(C37,[1]Sheet1!$A$1:$C$41,2,0),"Merchant Not Found")</f>
        <v>Merchant_016</v>
      </c>
      <c r="E37" s="7">
        <v>46037.114583333299</v>
      </c>
      <c r="F37">
        <v>2999</v>
      </c>
      <c r="G37" s="8" t="s">
        <v>52</v>
      </c>
      <c r="H37" s="8" t="s">
        <v>40</v>
      </c>
      <c r="I37">
        <v>34</v>
      </c>
      <c r="J37" s="9">
        <f t="shared" si="0"/>
        <v>46037</v>
      </c>
      <c r="K37" s="10">
        <f>INDEX(Daily_Merchant_Pivot!$B$3:$AO$32,MATCH(J37,Daily_Merchant_Pivot!$A$3:$A$32,0),MATCH(C37,Daily_Merchant_Pivot!$B$2:$AO$2,0))</f>
        <v>2999</v>
      </c>
      <c r="L37" s="3" t="str">
        <f>INDEX(Merchant_Region_Map!$D$3:$D$42,MATCH(C37,Merchant_Region_Map!$A$3:$A$42,0))</f>
        <v>West</v>
      </c>
      <c r="M37" s="11" t="str">
        <f t="shared" si="1"/>
        <v/>
      </c>
    </row>
    <row r="38" spans="1:13" x14ac:dyDescent="0.25">
      <c r="A38" t="s">
        <v>80</v>
      </c>
      <c r="B38">
        <v>277</v>
      </c>
      <c r="C38">
        <v>6</v>
      </c>
      <c r="D38" s="13" t="str">
        <f>IFERROR(VLOOKUP(C38,[1]Sheet1!$A$1:$C$41,2,0),"Merchant Not Found")</f>
        <v>Merchant_006</v>
      </c>
      <c r="E38" s="7">
        <v>46033.456250000003</v>
      </c>
      <c r="F38">
        <v>1499</v>
      </c>
      <c r="G38" s="8" t="s">
        <v>52</v>
      </c>
      <c r="H38" s="8" t="s">
        <v>40</v>
      </c>
      <c r="I38">
        <v>17</v>
      </c>
      <c r="J38" s="9">
        <f t="shared" si="0"/>
        <v>46033</v>
      </c>
      <c r="K38" s="10">
        <f>INDEX(Daily_Merchant_Pivot!$B$3:$AO$32,MATCH(J38,Daily_Merchant_Pivot!$A$3:$A$32,0),MATCH(C38,Daily_Merchant_Pivot!$B$2:$AO$2,0))</f>
        <v>1499</v>
      </c>
      <c r="L38" s="3" t="str">
        <f>INDEX(Merchant_Region_Map!$D$3:$D$42,MATCH(C38,Merchant_Region_Map!$A$3:$A$42,0))</f>
        <v>South</v>
      </c>
      <c r="M38" s="11" t="str">
        <f t="shared" si="1"/>
        <v/>
      </c>
    </row>
    <row r="39" spans="1:13" x14ac:dyDescent="0.25">
      <c r="A39" t="s">
        <v>81</v>
      </c>
      <c r="B39">
        <v>79</v>
      </c>
      <c r="C39">
        <v>14</v>
      </c>
      <c r="D39" s="13" t="str">
        <f>IFERROR(VLOOKUP(C39,[1]Sheet1!$A$1:$C$41,2,0),"Merchant Not Found")</f>
        <v>Merchant_014</v>
      </c>
      <c r="E39" s="7">
        <v>46027.308333333298</v>
      </c>
      <c r="F39">
        <v>1399</v>
      </c>
      <c r="G39" s="8" t="s">
        <v>39</v>
      </c>
      <c r="H39" s="8" t="s">
        <v>40</v>
      </c>
      <c r="I39">
        <v>8</v>
      </c>
      <c r="J39" s="9">
        <f t="shared" si="0"/>
        <v>46027</v>
      </c>
      <c r="K39" s="10">
        <f>INDEX(Daily_Merchant_Pivot!$B$3:$AO$32,MATCH(J39,Daily_Merchant_Pivot!$A$3:$A$32,0),MATCH(C39,Daily_Merchant_Pivot!$B$2:$AO$2,0))</f>
        <v>1399</v>
      </c>
      <c r="L39" s="3" t="str">
        <f>INDEX(Merchant_Region_Map!$D$3:$D$42,MATCH(C39,Merchant_Region_Map!$A$3:$A$42,0))</f>
        <v>East</v>
      </c>
      <c r="M39" s="11" t="str">
        <f t="shared" si="1"/>
        <v/>
      </c>
    </row>
    <row r="40" spans="1:13" x14ac:dyDescent="0.25">
      <c r="A40" t="s">
        <v>82</v>
      </c>
      <c r="B40">
        <v>278</v>
      </c>
      <c r="C40">
        <v>30</v>
      </c>
      <c r="D40" s="13" t="str">
        <f>IFERROR(VLOOKUP(C40,[1]Sheet1!$A$1:$C$41,2,0),"Merchant Not Found")</f>
        <v>Merchant_030</v>
      </c>
      <c r="E40" s="7">
        <v>46036.556250000001</v>
      </c>
      <c r="F40">
        <v>1499</v>
      </c>
      <c r="G40" s="8" t="s">
        <v>39</v>
      </c>
      <c r="H40" s="8" t="s">
        <v>40</v>
      </c>
      <c r="I40">
        <v>53</v>
      </c>
      <c r="J40" s="9">
        <f t="shared" si="0"/>
        <v>46036</v>
      </c>
      <c r="K40" s="10">
        <f>INDEX(Daily_Merchant_Pivot!$B$3:$AO$32,MATCH(J40,Daily_Merchant_Pivot!$A$3:$A$32,0),MATCH(C40,Daily_Merchant_Pivot!$B$2:$AO$2,0))</f>
        <v>2497</v>
      </c>
      <c r="L40" s="3" t="str">
        <f>INDEX(Merchant_Region_Map!$D$3:$D$42,MATCH(C40,Merchant_Region_Map!$A$3:$A$42,0))</f>
        <v>West</v>
      </c>
      <c r="M40" s="11" t="str">
        <f t="shared" si="1"/>
        <v/>
      </c>
    </row>
    <row r="41" spans="1:13" x14ac:dyDescent="0.25">
      <c r="A41" t="s">
        <v>83</v>
      </c>
      <c r="B41">
        <v>216</v>
      </c>
      <c r="C41">
        <v>25</v>
      </c>
      <c r="D41" s="13" t="str">
        <f>IFERROR(VLOOKUP(C41,[1]Sheet1!$A$1:$C$41,2,0),"Merchant Not Found")</f>
        <v>Merchant_025</v>
      </c>
      <c r="E41" s="7">
        <v>46024.286805555603</v>
      </c>
      <c r="F41">
        <v>99</v>
      </c>
      <c r="G41" s="8" t="s">
        <v>39</v>
      </c>
      <c r="H41" s="8" t="s">
        <v>40</v>
      </c>
      <c r="I41">
        <v>98</v>
      </c>
      <c r="J41" s="9">
        <f t="shared" si="0"/>
        <v>46024</v>
      </c>
      <c r="K41" s="10">
        <f>INDEX(Daily_Merchant_Pivot!$B$3:$AO$32,MATCH(J41,Daily_Merchant_Pivot!$A$3:$A$32,0),MATCH(C41,Daily_Merchant_Pivot!$B$2:$AO$2,0))</f>
        <v>99</v>
      </c>
      <c r="L41" s="3" t="str">
        <f>INDEX(Merchant_Region_Map!$D$3:$D$42,MATCH(C41,Merchant_Region_Map!$A$3:$A$42,0))</f>
        <v>South</v>
      </c>
      <c r="M41" s="11" t="str">
        <f t="shared" si="1"/>
        <v/>
      </c>
    </row>
    <row r="42" spans="1:13" x14ac:dyDescent="0.25">
      <c r="A42" t="s">
        <v>84</v>
      </c>
      <c r="B42">
        <v>295</v>
      </c>
      <c r="C42">
        <v>25</v>
      </c>
      <c r="D42" s="13" t="str">
        <f>IFERROR(VLOOKUP(C42,[1]Sheet1!$A$1:$C$41,2,0),"Merchant Not Found")</f>
        <v>Merchant_025</v>
      </c>
      <c r="E42" s="7">
        <v>46041.917361111096</v>
      </c>
      <c r="F42">
        <v>1499</v>
      </c>
      <c r="G42" s="8" t="s">
        <v>39</v>
      </c>
      <c r="H42" s="8" t="s">
        <v>53</v>
      </c>
      <c r="I42">
        <v>61</v>
      </c>
      <c r="J42" s="9">
        <f t="shared" si="0"/>
        <v>46041</v>
      </c>
      <c r="K42" s="10">
        <f>INDEX(Daily_Merchant_Pivot!$B$3:$AO$32,MATCH(J42,Daily_Merchant_Pivot!$A$3:$A$32,0),MATCH(C42,Daily_Merchant_Pivot!$B$2:$AO$2,0))</f>
        <v>2999</v>
      </c>
      <c r="L42" s="3" t="str">
        <f>INDEX(Merchant_Region_Map!$D$3:$D$42,MATCH(C42,Merchant_Region_Map!$A$3:$A$42,0))</f>
        <v>South</v>
      </c>
      <c r="M42" s="11" t="str">
        <f t="shared" si="1"/>
        <v/>
      </c>
    </row>
    <row r="43" spans="1:13" x14ac:dyDescent="0.25">
      <c r="A43" t="s">
        <v>85</v>
      </c>
      <c r="B43">
        <v>200</v>
      </c>
      <c r="C43">
        <v>27</v>
      </c>
      <c r="D43" s="13" t="str">
        <f>IFERROR(VLOOKUP(C43,[1]Sheet1!$A$1:$C$41,2,0),"Merchant Not Found")</f>
        <v>Merchant_027</v>
      </c>
      <c r="E43" s="7">
        <v>46023.471527777801</v>
      </c>
      <c r="F43">
        <v>149</v>
      </c>
      <c r="G43" s="8" t="s">
        <v>39</v>
      </c>
      <c r="H43" s="8" t="s">
        <v>40</v>
      </c>
      <c r="I43">
        <v>68</v>
      </c>
      <c r="J43" s="9">
        <f t="shared" si="0"/>
        <v>46023</v>
      </c>
      <c r="K43" s="10">
        <f>INDEX(Daily_Merchant_Pivot!$B$3:$AO$32,MATCH(J43,Daily_Merchant_Pivot!$A$3:$A$32,0),MATCH(C43,Daily_Merchant_Pivot!$B$2:$AO$2,0))</f>
        <v>149</v>
      </c>
      <c r="L43" s="3" t="str">
        <f>INDEX(Merchant_Region_Map!$D$3:$D$42,MATCH(C43,Merchant_Region_Map!$A$3:$A$42,0))</f>
        <v>North</v>
      </c>
      <c r="M43" s="11" t="str">
        <f t="shared" si="1"/>
        <v/>
      </c>
    </row>
    <row r="44" spans="1:13" x14ac:dyDescent="0.25">
      <c r="A44" t="s">
        <v>86</v>
      </c>
      <c r="B44">
        <v>249</v>
      </c>
      <c r="C44">
        <v>2</v>
      </c>
      <c r="D44" s="13" t="str">
        <f>IFERROR(VLOOKUP(C44,[1]Sheet1!$A$1:$C$41,2,0),"Merchant Not Found")</f>
        <v>Merchant_002</v>
      </c>
      <c r="E44" s="7">
        <v>46030.352083333302</v>
      </c>
      <c r="F44">
        <v>299</v>
      </c>
      <c r="G44" s="8" t="s">
        <v>42</v>
      </c>
      <c r="H44" s="8" t="s">
        <v>40</v>
      </c>
      <c r="I44">
        <v>49</v>
      </c>
      <c r="J44" s="9">
        <f t="shared" si="0"/>
        <v>46030</v>
      </c>
      <c r="K44" s="10">
        <f>INDEX(Daily_Merchant_Pivot!$B$3:$AO$32,MATCH(J44,Daily_Merchant_Pivot!$A$3:$A$32,0),MATCH(C44,Daily_Merchant_Pivot!$B$2:$AO$2,0))</f>
        <v>299</v>
      </c>
      <c r="L44" s="3" t="str">
        <f>INDEX(Merchant_Region_Map!$D$3:$D$42,MATCH(C44,Merchant_Region_Map!$A$3:$A$42,0))</f>
        <v>West</v>
      </c>
      <c r="M44" s="11" t="str">
        <f t="shared" si="1"/>
        <v/>
      </c>
    </row>
    <row r="45" spans="1:13" x14ac:dyDescent="0.25">
      <c r="A45" t="s">
        <v>87</v>
      </c>
      <c r="B45">
        <v>208</v>
      </c>
      <c r="C45">
        <v>11</v>
      </c>
      <c r="D45" s="13" t="str">
        <f>IFERROR(VLOOKUP(C45,[1]Sheet1!$A$1:$C$41,2,0),"Merchant Not Found")</f>
        <v>Merchant_011</v>
      </c>
      <c r="E45" s="7">
        <v>46033.904861111099</v>
      </c>
      <c r="F45">
        <v>4999</v>
      </c>
      <c r="G45" s="8" t="s">
        <v>44</v>
      </c>
      <c r="H45" s="8" t="s">
        <v>40</v>
      </c>
      <c r="I45">
        <v>59</v>
      </c>
      <c r="J45" s="9">
        <f t="shared" si="0"/>
        <v>46033</v>
      </c>
      <c r="K45" s="10">
        <f>INDEX(Daily_Merchant_Pivot!$B$3:$AO$32,MATCH(J45,Daily_Merchant_Pivot!$A$3:$A$32,0),MATCH(C45,Daily_Merchant_Pivot!$B$2:$AO$2,0))</f>
        <v>4999</v>
      </c>
      <c r="L45" s="3" t="str">
        <f>INDEX(Merchant_Region_Map!$D$3:$D$42,MATCH(C45,Merchant_Region_Map!$A$3:$A$42,0))</f>
        <v>North</v>
      </c>
      <c r="M45" s="11" t="str">
        <f t="shared" si="1"/>
        <v/>
      </c>
    </row>
    <row r="46" spans="1:13" x14ac:dyDescent="0.25">
      <c r="A46" t="s">
        <v>88</v>
      </c>
      <c r="B46">
        <v>274</v>
      </c>
      <c r="C46">
        <v>2</v>
      </c>
      <c r="D46" s="13" t="str">
        <f>IFERROR(VLOOKUP(C46,[1]Sheet1!$A$1:$C$41,2,0),"Merchant Not Found")</f>
        <v>Merchant_002</v>
      </c>
      <c r="E46" s="7">
        <v>46052.193749999999</v>
      </c>
      <c r="F46">
        <v>299</v>
      </c>
      <c r="G46" s="8" t="s">
        <v>39</v>
      </c>
      <c r="H46" s="8" t="s">
        <v>40</v>
      </c>
      <c r="I46">
        <v>50</v>
      </c>
      <c r="J46" s="9">
        <f t="shared" si="0"/>
        <v>46052</v>
      </c>
      <c r="K46" s="10">
        <f>INDEX(Daily_Merchant_Pivot!$B$3:$AO$32,MATCH(J46,Daily_Merchant_Pivot!$A$3:$A$32,0),MATCH(C46,Daily_Merchant_Pivot!$B$2:$AO$2,0))</f>
        <v>299</v>
      </c>
      <c r="L46" s="3" t="str">
        <f>INDEX(Merchant_Region_Map!$D$3:$D$42,MATCH(C46,Merchant_Region_Map!$A$3:$A$42,0))</f>
        <v>West</v>
      </c>
      <c r="M46" s="11" t="str">
        <f t="shared" si="1"/>
        <v/>
      </c>
    </row>
    <row r="47" spans="1:13" x14ac:dyDescent="0.25">
      <c r="A47" t="s">
        <v>89</v>
      </c>
      <c r="B47">
        <v>14</v>
      </c>
      <c r="C47">
        <v>6</v>
      </c>
      <c r="D47" s="13" t="str">
        <f>IFERROR(VLOOKUP(C47,[1]Sheet1!$A$1:$C$41,2,0),"Merchant Not Found")</f>
        <v>Merchant_006</v>
      </c>
      <c r="E47" s="7">
        <v>46041.779166666704</v>
      </c>
      <c r="F47">
        <v>49</v>
      </c>
      <c r="G47" s="8" t="s">
        <v>42</v>
      </c>
      <c r="H47" s="8" t="s">
        <v>40</v>
      </c>
      <c r="I47">
        <v>82</v>
      </c>
      <c r="J47" s="9">
        <f t="shared" si="0"/>
        <v>46041</v>
      </c>
      <c r="K47" s="10">
        <f>INDEX(Daily_Merchant_Pivot!$B$3:$AO$32,MATCH(J47,Daily_Merchant_Pivot!$A$3:$A$32,0),MATCH(C47,Daily_Merchant_Pivot!$B$2:$AO$2,0))</f>
        <v>49</v>
      </c>
      <c r="L47" s="3" t="str">
        <f>INDEX(Merchant_Region_Map!$D$3:$D$42,MATCH(C47,Merchant_Region_Map!$A$3:$A$42,0))</f>
        <v>South</v>
      </c>
      <c r="M47" s="11" t="str">
        <f t="shared" si="1"/>
        <v/>
      </c>
    </row>
    <row r="48" spans="1:13" x14ac:dyDescent="0.25">
      <c r="A48" t="s">
        <v>90</v>
      </c>
      <c r="B48">
        <v>237</v>
      </c>
      <c r="C48">
        <v>12</v>
      </c>
      <c r="D48" s="13" t="str">
        <f>IFERROR(VLOOKUP(C48,[1]Sheet1!$A$1:$C$41,2,0),"Merchant Not Found")</f>
        <v>Merchant_012</v>
      </c>
      <c r="E48" s="7">
        <v>46036.204861111102</v>
      </c>
      <c r="F48">
        <v>49</v>
      </c>
      <c r="G48" s="8" t="s">
        <v>39</v>
      </c>
      <c r="H48" s="8" t="s">
        <v>40</v>
      </c>
      <c r="I48">
        <v>6</v>
      </c>
      <c r="J48" s="9">
        <f t="shared" si="0"/>
        <v>46036</v>
      </c>
      <c r="K48" s="10">
        <f>INDEX(Daily_Merchant_Pivot!$B$3:$AO$32,MATCH(J48,Daily_Merchant_Pivot!$A$3:$A$32,0),MATCH(C48,Daily_Merchant_Pivot!$B$2:$AO$2,0))</f>
        <v>49</v>
      </c>
      <c r="L48" s="3" t="str">
        <f>INDEX(Merchant_Region_Map!$D$3:$D$42,MATCH(C48,Merchant_Region_Map!$A$3:$A$42,0))</f>
        <v>East</v>
      </c>
      <c r="M48" s="11" t="str">
        <f t="shared" si="1"/>
        <v/>
      </c>
    </row>
    <row r="49" spans="1:13" x14ac:dyDescent="0.25">
      <c r="A49" t="s">
        <v>91</v>
      </c>
      <c r="B49">
        <v>109</v>
      </c>
      <c r="C49">
        <v>30</v>
      </c>
      <c r="D49" s="13" t="str">
        <f>IFERROR(VLOOKUP(C49,[1]Sheet1!$A$1:$C$41,2,0),"Merchant Not Found")</f>
        <v>Merchant_030</v>
      </c>
      <c r="E49" s="7">
        <v>46031.513888888898</v>
      </c>
      <c r="F49">
        <v>99</v>
      </c>
      <c r="G49" s="8" t="s">
        <v>39</v>
      </c>
      <c r="H49" s="8" t="s">
        <v>40</v>
      </c>
      <c r="I49">
        <v>41</v>
      </c>
      <c r="J49" s="9">
        <f t="shared" si="0"/>
        <v>46031</v>
      </c>
      <c r="K49" s="10">
        <f>INDEX(Daily_Merchant_Pivot!$B$3:$AO$32,MATCH(J49,Daily_Merchant_Pivot!$A$3:$A$32,0),MATCH(C49,Daily_Merchant_Pivot!$B$2:$AO$2,0))</f>
        <v>99</v>
      </c>
      <c r="L49" s="3" t="str">
        <f>INDEX(Merchant_Region_Map!$D$3:$D$42,MATCH(C49,Merchant_Region_Map!$A$3:$A$42,0))</f>
        <v>West</v>
      </c>
      <c r="M49" s="11" t="str">
        <f t="shared" si="1"/>
        <v/>
      </c>
    </row>
    <row r="50" spans="1:13" x14ac:dyDescent="0.25">
      <c r="A50" t="s">
        <v>92</v>
      </c>
      <c r="B50">
        <v>216</v>
      </c>
      <c r="C50">
        <v>17</v>
      </c>
      <c r="D50" s="13" t="str">
        <f>IFERROR(VLOOKUP(C50,[1]Sheet1!$A$1:$C$41,2,0),"Merchant Not Found")</f>
        <v>Merchant_017</v>
      </c>
      <c r="E50" s="7">
        <v>46033.511805555601</v>
      </c>
      <c r="F50">
        <v>4999</v>
      </c>
      <c r="G50" s="8" t="s">
        <v>39</v>
      </c>
      <c r="H50" s="8" t="s">
        <v>40</v>
      </c>
      <c r="I50">
        <v>10</v>
      </c>
      <c r="J50" s="9">
        <f t="shared" si="0"/>
        <v>46033</v>
      </c>
      <c r="K50" s="10">
        <f>INDEX(Daily_Merchant_Pivot!$B$3:$AO$32,MATCH(J50,Daily_Merchant_Pivot!$A$3:$A$32,0),MATCH(C50,Daily_Merchant_Pivot!$B$2:$AO$2,0))</f>
        <v>7998</v>
      </c>
      <c r="L50" s="3" t="str">
        <f>INDEX(Merchant_Region_Map!$D$3:$D$42,MATCH(C50,Merchant_Region_Map!$A$3:$A$42,0))</f>
        <v>North</v>
      </c>
      <c r="M50" s="11" t="str">
        <f t="shared" si="1"/>
        <v>High-Value Merchant Day</v>
      </c>
    </row>
    <row r="51" spans="1:13" x14ac:dyDescent="0.25">
      <c r="A51" t="s">
        <v>93</v>
      </c>
      <c r="B51">
        <v>277</v>
      </c>
      <c r="C51">
        <v>4</v>
      </c>
      <c r="D51" s="13" t="str">
        <f>IFERROR(VLOOKUP(C51,[1]Sheet1!$A$1:$C$41,2,0),"Merchant Not Found")</f>
        <v>Merchant_004</v>
      </c>
      <c r="E51" s="7">
        <v>46038.032638888901</v>
      </c>
      <c r="F51">
        <v>799</v>
      </c>
      <c r="G51" s="8" t="s">
        <v>39</v>
      </c>
      <c r="H51" s="8" t="s">
        <v>40</v>
      </c>
      <c r="I51">
        <v>44</v>
      </c>
      <c r="J51" s="9">
        <f t="shared" si="0"/>
        <v>46038</v>
      </c>
      <c r="K51" s="10">
        <f>INDEX(Daily_Merchant_Pivot!$B$3:$AO$32,MATCH(J51,Daily_Merchant_Pivot!$A$3:$A$32,0),MATCH(C51,Daily_Merchant_Pivot!$B$2:$AO$2,0))</f>
        <v>799</v>
      </c>
      <c r="L51" s="3" t="str">
        <f>INDEX(Merchant_Region_Map!$D$3:$D$42,MATCH(C51,Merchant_Region_Map!$A$3:$A$42,0))</f>
        <v>East</v>
      </c>
      <c r="M51" s="11" t="str">
        <f t="shared" si="1"/>
        <v/>
      </c>
    </row>
    <row r="52" spans="1:13" x14ac:dyDescent="0.25">
      <c r="A52" t="s">
        <v>94</v>
      </c>
      <c r="B52">
        <v>334</v>
      </c>
      <c r="C52">
        <v>3</v>
      </c>
      <c r="D52" s="13" t="str">
        <f>IFERROR(VLOOKUP(C52,[1]Sheet1!$A$1:$C$41,2,0),"Merchant Not Found")</f>
        <v>Merchant_003</v>
      </c>
      <c r="E52" s="7">
        <v>46030.836111111101</v>
      </c>
      <c r="F52">
        <v>149</v>
      </c>
      <c r="G52" s="8" t="s">
        <v>42</v>
      </c>
      <c r="H52" s="8" t="s">
        <v>40</v>
      </c>
      <c r="I52">
        <v>96</v>
      </c>
      <c r="J52" s="9">
        <f t="shared" si="0"/>
        <v>46030</v>
      </c>
      <c r="K52" s="10">
        <f>INDEX(Daily_Merchant_Pivot!$B$3:$AO$32,MATCH(J52,Daily_Merchant_Pivot!$A$3:$A$32,0),MATCH(C52,Daily_Merchant_Pivot!$B$2:$AO$2,0))</f>
        <v>149</v>
      </c>
      <c r="L52" s="3" t="str">
        <f>INDEX(Merchant_Region_Map!$D$3:$D$42,MATCH(C52,Merchant_Region_Map!$A$3:$A$42,0))</f>
        <v>East</v>
      </c>
      <c r="M52" s="11" t="str">
        <f t="shared" si="1"/>
        <v/>
      </c>
    </row>
    <row r="53" spans="1:13" x14ac:dyDescent="0.25">
      <c r="A53" t="s">
        <v>95</v>
      </c>
      <c r="B53">
        <v>11</v>
      </c>
      <c r="C53">
        <v>40</v>
      </c>
      <c r="D53" s="13" t="str">
        <f>IFERROR(VLOOKUP(C53,[1]Sheet1!$A$1:$C$41,2,0),"Merchant Not Found")</f>
        <v>Merchant_040</v>
      </c>
      <c r="E53" s="7">
        <v>46023.3</v>
      </c>
      <c r="F53">
        <v>299</v>
      </c>
      <c r="G53" s="8" t="s">
        <v>39</v>
      </c>
      <c r="H53" s="8" t="s">
        <v>40</v>
      </c>
      <c r="I53">
        <v>19</v>
      </c>
      <c r="J53" s="9">
        <f t="shared" si="0"/>
        <v>46023</v>
      </c>
      <c r="K53" s="10">
        <f>INDEX(Daily_Merchant_Pivot!$B$3:$AO$32,MATCH(J53,Daily_Merchant_Pivot!$A$3:$A$32,0),MATCH(C53,Daily_Merchant_Pivot!$B$2:$AO$2,0))</f>
        <v>299</v>
      </c>
      <c r="L53" s="3" t="str">
        <f>INDEX(Merchant_Region_Map!$D$3:$D$42,MATCH(C53,Merchant_Region_Map!$A$3:$A$42,0))</f>
        <v>South</v>
      </c>
      <c r="M53" s="11" t="str">
        <f t="shared" si="1"/>
        <v/>
      </c>
    </row>
    <row r="54" spans="1:13" x14ac:dyDescent="0.25">
      <c r="A54" t="s">
        <v>96</v>
      </c>
      <c r="B54">
        <v>343</v>
      </c>
      <c r="C54">
        <v>8</v>
      </c>
      <c r="D54" s="13" t="str">
        <f>IFERROR(VLOOKUP(C54,[1]Sheet1!$A$1:$C$41,2,0),"Merchant Not Found")</f>
        <v>Merchant_008</v>
      </c>
      <c r="E54" s="7">
        <v>46030.1875</v>
      </c>
      <c r="F54">
        <v>99</v>
      </c>
      <c r="G54" s="8" t="s">
        <v>39</v>
      </c>
      <c r="H54" s="8" t="s">
        <v>40</v>
      </c>
      <c r="I54">
        <v>72</v>
      </c>
      <c r="J54" s="9">
        <f t="shared" si="0"/>
        <v>46030</v>
      </c>
      <c r="K54" s="10">
        <f>INDEX(Daily_Merchant_Pivot!$B$3:$AO$32,MATCH(J54,Daily_Merchant_Pivot!$A$3:$A$32,0),MATCH(C54,Daily_Merchant_Pivot!$B$2:$AO$2,0))</f>
        <v>99</v>
      </c>
      <c r="L54" s="3" t="str">
        <f>INDEX(Merchant_Region_Map!$D$3:$D$42,MATCH(C54,Merchant_Region_Map!$A$3:$A$42,0))</f>
        <v>North</v>
      </c>
      <c r="M54" s="11" t="str">
        <f t="shared" si="1"/>
        <v/>
      </c>
    </row>
    <row r="55" spans="1:13" x14ac:dyDescent="0.25">
      <c r="A55" t="s">
        <v>97</v>
      </c>
      <c r="B55">
        <v>59</v>
      </c>
      <c r="C55">
        <v>11</v>
      </c>
      <c r="D55" s="13" t="str">
        <f>IFERROR(VLOOKUP(C55,[1]Sheet1!$A$1:$C$41,2,0),"Merchant Not Found")</f>
        <v>Merchant_011</v>
      </c>
      <c r="E55" s="7">
        <v>46042.824305555601</v>
      </c>
      <c r="F55">
        <v>299</v>
      </c>
      <c r="G55" s="8" t="s">
        <v>39</v>
      </c>
      <c r="H55" s="8" t="s">
        <v>40</v>
      </c>
      <c r="I55">
        <v>39</v>
      </c>
      <c r="J55" s="9">
        <f t="shared" si="0"/>
        <v>46042</v>
      </c>
      <c r="K55" s="10">
        <f>INDEX(Daily_Merchant_Pivot!$B$3:$AO$32,MATCH(J55,Daily_Merchant_Pivot!$A$3:$A$32,0),MATCH(C55,Daily_Merchant_Pivot!$B$2:$AO$2,0))</f>
        <v>299</v>
      </c>
      <c r="L55" s="3" t="str">
        <f>INDEX(Merchant_Region_Map!$D$3:$D$42,MATCH(C55,Merchant_Region_Map!$A$3:$A$42,0))</f>
        <v>North</v>
      </c>
      <c r="M55" s="11" t="str">
        <f t="shared" si="1"/>
        <v/>
      </c>
    </row>
    <row r="56" spans="1:13" x14ac:dyDescent="0.25">
      <c r="A56" t="s">
        <v>98</v>
      </c>
      <c r="B56">
        <v>160</v>
      </c>
      <c r="C56">
        <v>37</v>
      </c>
      <c r="D56" s="13" t="str">
        <f>IFERROR(VLOOKUP(C56,[1]Sheet1!$A$1:$C$41,2,0),"Merchant Not Found")</f>
        <v>Merchant_037</v>
      </c>
      <c r="E56" s="7">
        <v>46026.750694444498</v>
      </c>
      <c r="F56">
        <v>49</v>
      </c>
      <c r="G56" s="8" t="s">
        <v>42</v>
      </c>
      <c r="H56" s="8" t="s">
        <v>40</v>
      </c>
      <c r="I56">
        <v>86</v>
      </c>
      <c r="J56" s="9">
        <f t="shared" si="0"/>
        <v>46026</v>
      </c>
      <c r="K56" s="10">
        <f>INDEX(Daily_Merchant_Pivot!$B$3:$AO$32,MATCH(J56,Daily_Merchant_Pivot!$A$3:$A$32,0),MATCH(C56,Daily_Merchant_Pivot!$B$2:$AO$2,0))</f>
        <v>49</v>
      </c>
      <c r="L56" s="3" t="str">
        <f>INDEX(Merchant_Region_Map!$D$3:$D$42,MATCH(C56,Merchant_Region_Map!$A$3:$A$42,0))</f>
        <v>South</v>
      </c>
      <c r="M56" s="11" t="str">
        <f t="shared" si="1"/>
        <v/>
      </c>
    </row>
    <row r="57" spans="1:13" x14ac:dyDescent="0.25">
      <c r="A57" t="s">
        <v>99</v>
      </c>
      <c r="B57">
        <v>102</v>
      </c>
      <c r="C57">
        <v>5</v>
      </c>
      <c r="D57" s="13" t="str">
        <f>IFERROR(VLOOKUP(C57,[1]Sheet1!$A$1:$C$41,2,0),"Merchant Not Found")</f>
        <v>Merchant_005</v>
      </c>
      <c r="E57" s="7">
        <v>46052.517361111102</v>
      </c>
      <c r="F57">
        <v>2999</v>
      </c>
      <c r="G57" s="8" t="s">
        <v>39</v>
      </c>
      <c r="H57" s="8" t="s">
        <v>40</v>
      </c>
      <c r="I57">
        <v>75</v>
      </c>
      <c r="J57" s="9">
        <f t="shared" si="0"/>
        <v>46052</v>
      </c>
      <c r="K57" s="10">
        <f>INDEX(Daily_Merchant_Pivot!$B$3:$AO$32,MATCH(J57,Daily_Merchant_Pivot!$A$3:$A$32,0),MATCH(C57,Daily_Merchant_Pivot!$B$2:$AO$2,0))</f>
        <v>2999</v>
      </c>
      <c r="L57" s="3" t="str">
        <f>INDEX(Merchant_Region_Map!$D$3:$D$42,MATCH(C57,Merchant_Region_Map!$A$3:$A$42,0))</f>
        <v>South</v>
      </c>
      <c r="M57" s="11" t="str">
        <f t="shared" si="1"/>
        <v/>
      </c>
    </row>
    <row r="58" spans="1:13" x14ac:dyDescent="0.25">
      <c r="A58" t="s">
        <v>100</v>
      </c>
      <c r="B58">
        <v>53</v>
      </c>
      <c r="C58">
        <v>20</v>
      </c>
      <c r="D58" s="13" t="str">
        <f>IFERROR(VLOOKUP(C58,[1]Sheet1!$A$1:$C$41,2,0),"Merchant Not Found")</f>
        <v>Merchant_020</v>
      </c>
      <c r="E58" s="7">
        <v>46045.84375</v>
      </c>
      <c r="F58">
        <v>49</v>
      </c>
      <c r="G58" s="8" t="s">
        <v>44</v>
      </c>
      <c r="H58" s="8" t="s">
        <v>40</v>
      </c>
      <c r="I58">
        <v>87</v>
      </c>
      <c r="J58" s="9">
        <f t="shared" si="0"/>
        <v>46045</v>
      </c>
      <c r="K58" s="10">
        <f>INDEX(Daily_Merchant_Pivot!$B$3:$AO$32,MATCH(J58,Daily_Merchant_Pivot!$A$3:$A$32,0),MATCH(C58,Daily_Merchant_Pivot!$B$2:$AO$2,0))</f>
        <v>49</v>
      </c>
      <c r="L58" s="3" t="str">
        <f>INDEX(Merchant_Region_Map!$D$3:$D$42,MATCH(C58,Merchant_Region_Map!$A$3:$A$42,0))</f>
        <v>East</v>
      </c>
      <c r="M58" s="11" t="str">
        <f t="shared" si="1"/>
        <v/>
      </c>
    </row>
    <row r="59" spans="1:13" x14ac:dyDescent="0.25">
      <c r="A59" t="s">
        <v>101</v>
      </c>
      <c r="B59">
        <v>290</v>
      </c>
      <c r="C59">
        <v>3</v>
      </c>
      <c r="D59" s="13" t="str">
        <f>IFERROR(VLOOKUP(C59,[1]Sheet1!$A$1:$C$41,2,0),"Merchant Not Found")</f>
        <v>Merchant_003</v>
      </c>
      <c r="E59" s="7">
        <v>46042.159722222197</v>
      </c>
      <c r="F59">
        <v>99</v>
      </c>
      <c r="G59" s="8" t="s">
        <v>42</v>
      </c>
      <c r="H59" s="8" t="s">
        <v>40</v>
      </c>
      <c r="I59">
        <v>44</v>
      </c>
      <c r="J59" s="9">
        <f t="shared" si="0"/>
        <v>46042</v>
      </c>
      <c r="K59" s="10">
        <f>INDEX(Daily_Merchant_Pivot!$B$3:$AO$32,MATCH(J59,Daily_Merchant_Pivot!$A$3:$A$32,0),MATCH(C59,Daily_Merchant_Pivot!$B$2:$AO$2,0))</f>
        <v>99</v>
      </c>
      <c r="L59" s="3" t="str">
        <f>INDEX(Merchant_Region_Map!$D$3:$D$42,MATCH(C59,Merchant_Region_Map!$A$3:$A$42,0))</f>
        <v>East</v>
      </c>
      <c r="M59" s="11" t="str">
        <f t="shared" si="1"/>
        <v/>
      </c>
    </row>
    <row r="60" spans="1:13" x14ac:dyDescent="0.25">
      <c r="A60" t="s">
        <v>102</v>
      </c>
      <c r="B60">
        <v>190</v>
      </c>
      <c r="C60">
        <v>5</v>
      </c>
      <c r="D60" s="13" t="str">
        <f>IFERROR(VLOOKUP(C60,[1]Sheet1!$A$1:$C$41,2,0),"Merchant Not Found")</f>
        <v>Merchant_005</v>
      </c>
      <c r="E60" s="7">
        <v>46040.570833333302</v>
      </c>
      <c r="F60">
        <v>299</v>
      </c>
      <c r="G60" s="8" t="s">
        <v>39</v>
      </c>
      <c r="H60" s="8" t="s">
        <v>40</v>
      </c>
      <c r="I60">
        <v>64</v>
      </c>
      <c r="J60" s="9">
        <f t="shared" si="0"/>
        <v>46040</v>
      </c>
      <c r="K60" s="10">
        <f>INDEX(Daily_Merchant_Pivot!$B$3:$AO$32,MATCH(J60,Daily_Merchant_Pivot!$A$3:$A$32,0),MATCH(C60,Daily_Merchant_Pivot!$B$2:$AO$2,0))</f>
        <v>299</v>
      </c>
      <c r="L60" s="3" t="str">
        <f>INDEX(Merchant_Region_Map!$D$3:$D$42,MATCH(C60,Merchant_Region_Map!$A$3:$A$42,0))</f>
        <v>South</v>
      </c>
      <c r="M60" s="11" t="str">
        <f t="shared" si="1"/>
        <v/>
      </c>
    </row>
    <row r="61" spans="1:13" x14ac:dyDescent="0.25">
      <c r="A61" t="s">
        <v>103</v>
      </c>
      <c r="B61">
        <v>216</v>
      </c>
      <c r="C61">
        <v>32</v>
      </c>
      <c r="D61" s="13" t="str">
        <f>IFERROR(VLOOKUP(C61,[1]Sheet1!$A$1:$C$41,2,0),"Merchant Not Found")</f>
        <v>Merchant_032</v>
      </c>
      <c r="E61" s="7">
        <v>46043.416666666701</v>
      </c>
      <c r="F61">
        <v>49</v>
      </c>
      <c r="G61" s="8" t="s">
        <v>52</v>
      </c>
      <c r="H61" s="8" t="s">
        <v>40</v>
      </c>
      <c r="I61">
        <v>13</v>
      </c>
      <c r="J61" s="9">
        <f t="shared" si="0"/>
        <v>46043</v>
      </c>
      <c r="K61" s="10">
        <f>INDEX(Daily_Merchant_Pivot!$B$3:$AO$32,MATCH(J61,Daily_Merchant_Pivot!$A$3:$A$32,0),MATCH(C61,Daily_Merchant_Pivot!$B$2:$AO$2,0))</f>
        <v>5347</v>
      </c>
      <c r="L61" s="3" t="str">
        <f>INDEX(Merchant_Region_Map!$D$3:$D$42,MATCH(C61,Merchant_Region_Map!$A$3:$A$42,0))</f>
        <v>West</v>
      </c>
      <c r="M61" s="11" t="str">
        <f t="shared" si="1"/>
        <v>High-Value Merchant Day</v>
      </c>
    </row>
    <row r="62" spans="1:13" x14ac:dyDescent="0.25">
      <c r="A62" t="s">
        <v>104</v>
      </c>
      <c r="B62">
        <v>236</v>
      </c>
      <c r="C62">
        <v>10</v>
      </c>
      <c r="D62" s="13" t="str">
        <f>IFERROR(VLOOKUP(C62,[1]Sheet1!$A$1:$C$41,2,0),"Merchant Not Found")</f>
        <v>Merchant_010</v>
      </c>
      <c r="E62" s="7">
        <v>46036.486111111102</v>
      </c>
      <c r="F62">
        <v>499</v>
      </c>
      <c r="G62" s="8" t="s">
        <v>39</v>
      </c>
      <c r="H62" s="8" t="s">
        <v>40</v>
      </c>
      <c r="I62">
        <v>55</v>
      </c>
      <c r="J62" s="9">
        <f t="shared" si="0"/>
        <v>46036</v>
      </c>
      <c r="K62" s="10">
        <f>INDEX(Daily_Merchant_Pivot!$B$3:$AO$32,MATCH(J62,Daily_Merchant_Pivot!$A$3:$A$32,0),MATCH(C62,Daily_Merchant_Pivot!$B$2:$AO$2,0))</f>
        <v>499</v>
      </c>
      <c r="L62" s="3" t="str">
        <f>INDEX(Merchant_Region_Map!$D$3:$D$42,MATCH(C62,Merchant_Region_Map!$A$3:$A$42,0))</f>
        <v>West</v>
      </c>
      <c r="M62" s="11" t="str">
        <f t="shared" si="1"/>
        <v/>
      </c>
    </row>
    <row r="63" spans="1:13" x14ac:dyDescent="0.25">
      <c r="A63" t="s">
        <v>105</v>
      </c>
      <c r="B63">
        <v>334</v>
      </c>
      <c r="C63">
        <v>18</v>
      </c>
      <c r="D63" s="13" t="str">
        <f>IFERROR(VLOOKUP(C63,[1]Sheet1!$A$1:$C$41,2,0),"Merchant Not Found")</f>
        <v>Merchant_018</v>
      </c>
      <c r="E63" s="7">
        <v>46028.981249999997</v>
      </c>
      <c r="F63">
        <v>499</v>
      </c>
      <c r="G63" s="8" t="s">
        <v>52</v>
      </c>
      <c r="H63" s="8" t="s">
        <v>40</v>
      </c>
      <c r="I63">
        <v>78</v>
      </c>
      <c r="J63" s="9">
        <f t="shared" si="0"/>
        <v>46028</v>
      </c>
      <c r="K63" s="10">
        <f>INDEX(Daily_Merchant_Pivot!$B$3:$AO$32,MATCH(J63,Daily_Merchant_Pivot!$A$3:$A$32,0),MATCH(C63,Daily_Merchant_Pivot!$B$2:$AO$2,0))</f>
        <v>499</v>
      </c>
      <c r="L63" s="3" t="str">
        <f>INDEX(Merchant_Region_Map!$D$3:$D$42,MATCH(C63,Merchant_Region_Map!$A$3:$A$42,0))</f>
        <v>West</v>
      </c>
      <c r="M63" s="11" t="str">
        <f t="shared" si="1"/>
        <v/>
      </c>
    </row>
    <row r="64" spans="1:13" x14ac:dyDescent="0.25">
      <c r="A64" t="s">
        <v>106</v>
      </c>
      <c r="B64">
        <v>248</v>
      </c>
      <c r="C64">
        <v>30</v>
      </c>
      <c r="D64" s="13" t="str">
        <f>IFERROR(VLOOKUP(C64,[1]Sheet1!$A$1:$C$41,2,0),"Merchant Not Found")</f>
        <v>Merchant_030</v>
      </c>
      <c r="E64" s="7">
        <v>46048.742361111101</v>
      </c>
      <c r="F64">
        <v>799</v>
      </c>
      <c r="G64" s="8" t="s">
        <v>42</v>
      </c>
      <c r="H64" s="8" t="s">
        <v>40</v>
      </c>
      <c r="I64">
        <v>55</v>
      </c>
      <c r="J64" s="9">
        <f t="shared" si="0"/>
        <v>46048</v>
      </c>
      <c r="K64" s="10">
        <f>INDEX(Daily_Merchant_Pivot!$B$3:$AO$32,MATCH(J64,Daily_Merchant_Pivot!$A$3:$A$32,0),MATCH(C64,Daily_Merchant_Pivot!$B$2:$AO$2,0))</f>
        <v>799</v>
      </c>
      <c r="L64" s="3" t="str">
        <f>INDEX(Merchant_Region_Map!$D$3:$D$42,MATCH(C64,Merchant_Region_Map!$A$3:$A$42,0))</f>
        <v>West</v>
      </c>
      <c r="M64" s="11" t="str">
        <f t="shared" si="1"/>
        <v/>
      </c>
    </row>
    <row r="65" spans="1:13" x14ac:dyDescent="0.25">
      <c r="A65" t="s">
        <v>107</v>
      </c>
      <c r="B65">
        <v>138</v>
      </c>
      <c r="C65">
        <v>21</v>
      </c>
      <c r="D65" s="13" t="str">
        <f>IFERROR(VLOOKUP(C65,[1]Sheet1!$A$1:$C$41,2,0),"Merchant Not Found")</f>
        <v>Merchant_021</v>
      </c>
      <c r="E65" s="7">
        <v>46049.984027777798</v>
      </c>
      <c r="F65">
        <v>49</v>
      </c>
      <c r="G65" s="8" t="s">
        <v>52</v>
      </c>
      <c r="H65" s="8" t="s">
        <v>40</v>
      </c>
      <c r="I65">
        <v>31</v>
      </c>
      <c r="J65" s="9">
        <f t="shared" si="0"/>
        <v>46049</v>
      </c>
      <c r="K65" s="10">
        <f>INDEX(Daily_Merchant_Pivot!$B$3:$AO$32,MATCH(J65,Daily_Merchant_Pivot!$A$3:$A$32,0),MATCH(C65,Daily_Merchant_Pivot!$B$2:$AO$2,0))</f>
        <v>49</v>
      </c>
      <c r="L65" s="3" t="str">
        <f>INDEX(Merchant_Region_Map!$D$3:$D$42,MATCH(C65,Merchant_Region_Map!$A$3:$A$42,0))</f>
        <v>East</v>
      </c>
      <c r="M65" s="11" t="str">
        <f t="shared" si="1"/>
        <v/>
      </c>
    </row>
    <row r="66" spans="1:13" x14ac:dyDescent="0.25">
      <c r="A66" t="s">
        <v>108</v>
      </c>
      <c r="B66">
        <v>231</v>
      </c>
      <c r="C66">
        <v>16</v>
      </c>
      <c r="D66" s="13" t="str">
        <f>IFERROR(VLOOKUP(C66,[1]Sheet1!$A$1:$C$41,2,0),"Merchant Not Found")</f>
        <v>Merchant_016</v>
      </c>
      <c r="E66" s="7">
        <v>46049.095138888901</v>
      </c>
      <c r="F66">
        <v>49</v>
      </c>
      <c r="G66" s="8" t="s">
        <v>39</v>
      </c>
      <c r="H66" s="8" t="s">
        <v>40</v>
      </c>
      <c r="I66">
        <v>96</v>
      </c>
      <c r="J66" s="9">
        <f t="shared" si="0"/>
        <v>46049</v>
      </c>
      <c r="K66" s="10">
        <f>INDEX(Daily_Merchant_Pivot!$B$3:$AO$32,MATCH(J66,Daily_Merchant_Pivot!$A$3:$A$32,0),MATCH(C66,Daily_Merchant_Pivot!$B$2:$AO$2,0))</f>
        <v>348</v>
      </c>
      <c r="L66" s="3" t="str">
        <f>INDEX(Merchant_Region_Map!$D$3:$D$42,MATCH(C66,Merchant_Region_Map!$A$3:$A$42,0))</f>
        <v>West</v>
      </c>
      <c r="M66" s="11" t="str">
        <f t="shared" si="1"/>
        <v/>
      </c>
    </row>
    <row r="67" spans="1:13" x14ac:dyDescent="0.25">
      <c r="A67" t="s">
        <v>109</v>
      </c>
      <c r="B67">
        <v>343</v>
      </c>
      <c r="C67">
        <v>25</v>
      </c>
      <c r="D67" s="13" t="str">
        <f>IFERROR(VLOOKUP(C67,[1]Sheet1!$A$1:$C$41,2,0),"Merchant Not Found")</f>
        <v>Merchant_025</v>
      </c>
      <c r="E67" s="7">
        <v>46037.777083333298</v>
      </c>
      <c r="F67">
        <v>49</v>
      </c>
      <c r="G67" s="8" t="s">
        <v>39</v>
      </c>
      <c r="H67" s="8" t="s">
        <v>40</v>
      </c>
      <c r="I67">
        <v>43</v>
      </c>
      <c r="J67" s="9">
        <f t="shared" ref="J67:J130" si="2">INT(E67)</f>
        <v>46037</v>
      </c>
      <c r="K67" s="10">
        <f>INDEX(Daily_Merchant_Pivot!$B$3:$AO$32,MATCH(J67,Daily_Merchant_Pivot!$A$3:$A$32,0),MATCH(C67,Daily_Merchant_Pivot!$B$2:$AO$2,0))</f>
        <v>49</v>
      </c>
      <c r="L67" s="3" t="str">
        <f>INDEX(Merchant_Region_Map!$D$3:$D$42,MATCH(C67,Merchant_Region_Map!$A$3:$A$42,0))</f>
        <v>South</v>
      </c>
      <c r="M67" s="11" t="str">
        <f t="shared" ref="M67:M130" si="3">IF(AND(K67&gt;5000,L67&lt;&gt;"East"),"High-Value Merchant Day","")</f>
        <v/>
      </c>
    </row>
    <row r="68" spans="1:13" x14ac:dyDescent="0.25">
      <c r="A68" t="s">
        <v>110</v>
      </c>
      <c r="B68">
        <v>167</v>
      </c>
      <c r="C68">
        <v>12</v>
      </c>
      <c r="D68" s="13" t="str">
        <f>IFERROR(VLOOKUP(C68,[1]Sheet1!$A$1:$C$41,2,0),"Merchant Not Found")</f>
        <v>Merchant_012</v>
      </c>
      <c r="E68" s="7">
        <v>46023.662499999999</v>
      </c>
      <c r="F68">
        <v>499</v>
      </c>
      <c r="G68" s="8" t="s">
        <v>42</v>
      </c>
      <c r="H68" s="8" t="s">
        <v>40</v>
      </c>
      <c r="I68">
        <v>62</v>
      </c>
      <c r="J68" s="9">
        <f t="shared" si="2"/>
        <v>46023</v>
      </c>
      <c r="K68" s="10">
        <f>INDEX(Daily_Merchant_Pivot!$B$3:$AO$32,MATCH(J68,Daily_Merchant_Pivot!$A$3:$A$32,0),MATCH(C68,Daily_Merchant_Pivot!$B$2:$AO$2,0))</f>
        <v>548</v>
      </c>
      <c r="L68" s="3" t="str">
        <f>INDEX(Merchant_Region_Map!$D$3:$D$42,MATCH(C68,Merchant_Region_Map!$A$3:$A$42,0))</f>
        <v>East</v>
      </c>
      <c r="M68" s="11" t="str">
        <f t="shared" si="3"/>
        <v/>
      </c>
    </row>
    <row r="69" spans="1:13" x14ac:dyDescent="0.25">
      <c r="A69" t="s">
        <v>111</v>
      </c>
      <c r="B69">
        <v>133</v>
      </c>
      <c r="C69">
        <v>22</v>
      </c>
      <c r="D69" s="13" t="str">
        <f>IFERROR(VLOOKUP(C69,[1]Sheet1!$A$1:$C$41,2,0),"Merchant Not Found")</f>
        <v>Merchant_022</v>
      </c>
      <c r="E69" s="7">
        <v>46029.493750000001</v>
      </c>
      <c r="F69">
        <v>499</v>
      </c>
      <c r="G69" s="8" t="s">
        <v>39</v>
      </c>
      <c r="H69" s="8" t="s">
        <v>40</v>
      </c>
      <c r="I69">
        <v>35</v>
      </c>
      <c r="J69" s="9">
        <f t="shared" si="2"/>
        <v>46029</v>
      </c>
      <c r="K69" s="10">
        <f>INDEX(Daily_Merchant_Pivot!$B$3:$AO$32,MATCH(J69,Daily_Merchant_Pivot!$A$3:$A$32,0),MATCH(C69,Daily_Merchant_Pivot!$B$2:$AO$2,0))</f>
        <v>499</v>
      </c>
      <c r="L69" s="3" t="str">
        <f>INDEX(Merchant_Region_Map!$D$3:$D$42,MATCH(C69,Merchant_Region_Map!$A$3:$A$42,0))</f>
        <v>South</v>
      </c>
      <c r="M69" s="11" t="str">
        <f t="shared" si="3"/>
        <v/>
      </c>
    </row>
    <row r="70" spans="1:13" x14ac:dyDescent="0.25">
      <c r="A70" t="s">
        <v>112</v>
      </c>
      <c r="B70">
        <v>142</v>
      </c>
      <c r="C70">
        <v>36</v>
      </c>
      <c r="D70" s="13" t="str">
        <f>IFERROR(VLOOKUP(C70,[1]Sheet1!$A$1:$C$41,2,0),"Merchant Not Found")</f>
        <v>Merchant_036</v>
      </c>
      <c r="E70" s="7">
        <v>46051.822222222203</v>
      </c>
      <c r="F70">
        <v>799</v>
      </c>
      <c r="G70" s="8" t="s">
        <v>42</v>
      </c>
      <c r="H70" s="8" t="s">
        <v>40</v>
      </c>
      <c r="I70">
        <v>1</v>
      </c>
      <c r="J70" s="9">
        <f t="shared" si="2"/>
        <v>46051</v>
      </c>
      <c r="K70" s="10">
        <f>INDEX(Daily_Merchant_Pivot!$B$3:$AO$32,MATCH(J70,Daily_Merchant_Pivot!$A$3:$A$32,0),MATCH(C70,Daily_Merchant_Pivot!$B$2:$AO$2,0))</f>
        <v>799</v>
      </c>
      <c r="L70" s="3" t="str">
        <f>INDEX(Merchant_Region_Map!$D$3:$D$42,MATCH(C70,Merchant_Region_Map!$A$3:$A$42,0))</f>
        <v>East</v>
      </c>
      <c r="M70" s="11" t="str">
        <f t="shared" si="3"/>
        <v/>
      </c>
    </row>
    <row r="71" spans="1:13" x14ac:dyDescent="0.25">
      <c r="A71" t="s">
        <v>113</v>
      </c>
      <c r="B71">
        <v>124</v>
      </c>
      <c r="C71">
        <v>27</v>
      </c>
      <c r="D71" s="13" t="str">
        <f>IFERROR(VLOOKUP(C71,[1]Sheet1!$A$1:$C$41,2,0),"Merchant Not Found")</f>
        <v>Merchant_027</v>
      </c>
      <c r="E71" s="7">
        <v>46039.253472222197</v>
      </c>
      <c r="F71">
        <v>499</v>
      </c>
      <c r="G71" s="8" t="s">
        <v>42</v>
      </c>
      <c r="H71" s="8" t="s">
        <v>40</v>
      </c>
      <c r="I71">
        <v>62</v>
      </c>
      <c r="J71" s="9">
        <f t="shared" si="2"/>
        <v>46039</v>
      </c>
      <c r="K71" s="10">
        <f>INDEX(Daily_Merchant_Pivot!$B$3:$AO$32,MATCH(J71,Daily_Merchant_Pivot!$A$3:$A$32,0),MATCH(C71,Daily_Merchant_Pivot!$B$2:$AO$2,0))</f>
        <v>798</v>
      </c>
      <c r="L71" s="3" t="str">
        <f>INDEX(Merchant_Region_Map!$D$3:$D$42,MATCH(C71,Merchant_Region_Map!$A$3:$A$42,0))</f>
        <v>North</v>
      </c>
      <c r="M71" s="11" t="str">
        <f t="shared" si="3"/>
        <v/>
      </c>
    </row>
    <row r="72" spans="1:13" x14ac:dyDescent="0.25">
      <c r="A72" t="s">
        <v>114</v>
      </c>
      <c r="B72">
        <v>151</v>
      </c>
      <c r="C72">
        <v>15</v>
      </c>
      <c r="D72" s="13" t="str">
        <f>IFERROR(VLOOKUP(C72,[1]Sheet1!$A$1:$C$41,2,0),"Merchant Not Found")</f>
        <v>Merchant_015</v>
      </c>
      <c r="E72" s="7">
        <v>46048.003472222197</v>
      </c>
      <c r="F72">
        <v>4999</v>
      </c>
      <c r="G72" s="8" t="s">
        <v>39</v>
      </c>
      <c r="H72" s="8" t="s">
        <v>40</v>
      </c>
      <c r="I72">
        <v>51</v>
      </c>
      <c r="J72" s="9">
        <f t="shared" si="2"/>
        <v>46048</v>
      </c>
      <c r="K72" s="10">
        <f>INDEX(Daily_Merchant_Pivot!$B$3:$AO$32,MATCH(J72,Daily_Merchant_Pivot!$A$3:$A$32,0),MATCH(C72,Daily_Merchant_Pivot!$B$2:$AO$2,0))</f>
        <v>4999</v>
      </c>
      <c r="L72" s="3" t="str">
        <f>INDEX(Merchant_Region_Map!$D$3:$D$42,MATCH(C72,Merchant_Region_Map!$A$3:$A$42,0))</f>
        <v>North</v>
      </c>
      <c r="M72" s="11" t="str">
        <f t="shared" si="3"/>
        <v/>
      </c>
    </row>
    <row r="73" spans="1:13" x14ac:dyDescent="0.25">
      <c r="A73" t="s">
        <v>115</v>
      </c>
      <c r="B73">
        <v>340</v>
      </c>
      <c r="C73">
        <v>38</v>
      </c>
      <c r="D73" s="13" t="str">
        <f>IFERROR(VLOOKUP(C73,[1]Sheet1!$A$1:$C$41,2,0),"Merchant Not Found")</f>
        <v>Merchant_038</v>
      </c>
      <c r="E73" s="7">
        <v>46045.304861111101</v>
      </c>
      <c r="F73">
        <v>499</v>
      </c>
      <c r="G73" s="8" t="s">
        <v>52</v>
      </c>
      <c r="H73" s="8" t="s">
        <v>40</v>
      </c>
      <c r="I73">
        <v>47</v>
      </c>
      <c r="J73" s="9">
        <f t="shared" si="2"/>
        <v>46045</v>
      </c>
      <c r="K73" s="10">
        <f>INDEX(Daily_Merchant_Pivot!$B$3:$AO$32,MATCH(J73,Daily_Merchant_Pivot!$A$3:$A$32,0),MATCH(C73,Daily_Merchant_Pivot!$B$2:$AO$2,0))</f>
        <v>499</v>
      </c>
      <c r="L73" s="3" t="str">
        <f>INDEX(Merchant_Region_Map!$D$3:$D$42,MATCH(C73,Merchant_Region_Map!$A$3:$A$42,0))</f>
        <v>East</v>
      </c>
      <c r="M73" s="11" t="str">
        <f t="shared" si="3"/>
        <v/>
      </c>
    </row>
    <row r="74" spans="1:13" x14ac:dyDescent="0.25">
      <c r="A74" t="s">
        <v>116</v>
      </c>
      <c r="B74">
        <v>177</v>
      </c>
      <c r="C74">
        <v>28</v>
      </c>
      <c r="D74" s="13" t="str">
        <f>IFERROR(VLOOKUP(C74,[1]Sheet1!$A$1:$C$41,2,0),"Merchant Not Found")</f>
        <v>Merchant_028</v>
      </c>
      <c r="E74" s="7">
        <v>46038.731249999997</v>
      </c>
      <c r="F74">
        <v>299</v>
      </c>
      <c r="G74" s="8" t="s">
        <v>39</v>
      </c>
      <c r="H74" s="8" t="s">
        <v>40</v>
      </c>
      <c r="I74">
        <v>95</v>
      </c>
      <c r="J74" s="9">
        <f t="shared" si="2"/>
        <v>46038</v>
      </c>
      <c r="K74" s="10">
        <f>INDEX(Daily_Merchant_Pivot!$B$3:$AO$32,MATCH(J74,Daily_Merchant_Pivot!$A$3:$A$32,0),MATCH(C74,Daily_Merchant_Pivot!$B$2:$AO$2,0))</f>
        <v>299</v>
      </c>
      <c r="L74" s="3" t="str">
        <f>INDEX(Merchant_Region_Map!$D$3:$D$42,MATCH(C74,Merchant_Region_Map!$A$3:$A$42,0))</f>
        <v>South</v>
      </c>
      <c r="M74" s="11" t="str">
        <f t="shared" si="3"/>
        <v/>
      </c>
    </row>
    <row r="75" spans="1:13" x14ac:dyDescent="0.25">
      <c r="A75" t="s">
        <v>117</v>
      </c>
      <c r="B75">
        <v>233</v>
      </c>
      <c r="C75">
        <v>18</v>
      </c>
      <c r="D75" s="13" t="str">
        <f>IFERROR(VLOOKUP(C75,[1]Sheet1!$A$1:$C$41,2,0),"Merchant Not Found")</f>
        <v>Merchant_018</v>
      </c>
      <c r="E75" s="7">
        <v>46040.431944444397</v>
      </c>
      <c r="F75">
        <v>499</v>
      </c>
      <c r="G75" s="8" t="s">
        <v>39</v>
      </c>
      <c r="H75" s="8" t="s">
        <v>40</v>
      </c>
      <c r="I75">
        <v>39</v>
      </c>
      <c r="J75" s="9">
        <f t="shared" si="2"/>
        <v>46040</v>
      </c>
      <c r="K75" s="10">
        <f>INDEX(Daily_Merchant_Pivot!$B$3:$AO$32,MATCH(J75,Daily_Merchant_Pivot!$A$3:$A$32,0),MATCH(C75,Daily_Merchant_Pivot!$B$2:$AO$2,0))</f>
        <v>499</v>
      </c>
      <c r="L75" s="3" t="str">
        <f>INDEX(Merchant_Region_Map!$D$3:$D$42,MATCH(C75,Merchant_Region_Map!$A$3:$A$42,0))</f>
        <v>West</v>
      </c>
      <c r="M75" s="11" t="str">
        <f t="shared" si="3"/>
        <v/>
      </c>
    </row>
    <row r="76" spans="1:13" x14ac:dyDescent="0.25">
      <c r="A76" t="s">
        <v>118</v>
      </c>
      <c r="B76">
        <v>99</v>
      </c>
      <c r="C76">
        <v>21</v>
      </c>
      <c r="D76" s="13" t="str">
        <f>IFERROR(VLOOKUP(C76,[1]Sheet1!$A$1:$C$41,2,0),"Merchant Not Found")</f>
        <v>Merchant_021</v>
      </c>
      <c r="E76" s="7">
        <v>46031.296527777798</v>
      </c>
      <c r="F76">
        <v>499</v>
      </c>
      <c r="G76" s="8" t="s">
        <v>39</v>
      </c>
      <c r="H76" s="8" t="s">
        <v>40</v>
      </c>
      <c r="I76">
        <v>15</v>
      </c>
      <c r="J76" s="9">
        <f t="shared" si="2"/>
        <v>46031</v>
      </c>
      <c r="K76" s="10">
        <f>INDEX(Daily_Merchant_Pivot!$B$3:$AO$32,MATCH(J76,Daily_Merchant_Pivot!$A$3:$A$32,0),MATCH(C76,Daily_Merchant_Pivot!$B$2:$AO$2,0))</f>
        <v>499</v>
      </c>
      <c r="L76" s="3" t="str">
        <f>INDEX(Merchant_Region_Map!$D$3:$D$42,MATCH(C76,Merchant_Region_Map!$A$3:$A$42,0))</f>
        <v>East</v>
      </c>
      <c r="M76" s="11" t="str">
        <f t="shared" si="3"/>
        <v/>
      </c>
    </row>
    <row r="77" spans="1:13" x14ac:dyDescent="0.25">
      <c r="A77" t="s">
        <v>119</v>
      </c>
      <c r="B77">
        <v>95</v>
      </c>
      <c r="C77">
        <v>13</v>
      </c>
      <c r="D77" s="13" t="str">
        <f>IFERROR(VLOOKUP(C77,[1]Sheet1!$A$1:$C$41,2,0),"Merchant Not Found")</f>
        <v>Merchant_013</v>
      </c>
      <c r="E77" s="7">
        <v>46046.741666666698</v>
      </c>
      <c r="F77">
        <v>2999</v>
      </c>
      <c r="G77" s="8" t="s">
        <v>44</v>
      </c>
      <c r="H77" s="8" t="s">
        <v>53</v>
      </c>
      <c r="I77">
        <v>27</v>
      </c>
      <c r="J77" s="9">
        <f t="shared" si="2"/>
        <v>46046</v>
      </c>
      <c r="K77" s="10">
        <f>INDEX(Daily_Merchant_Pivot!$B$3:$AO$32,MATCH(J77,Daily_Merchant_Pivot!$A$3:$A$32,0),MATCH(C77,Daily_Merchant_Pivot!$B$2:$AO$2,0))</f>
        <v>0</v>
      </c>
      <c r="L77" s="3" t="str">
        <f>INDEX(Merchant_Region_Map!$D$3:$D$42,MATCH(C77,Merchant_Region_Map!$A$3:$A$42,0))</f>
        <v>East</v>
      </c>
      <c r="M77" s="11" t="str">
        <f t="shared" si="3"/>
        <v/>
      </c>
    </row>
    <row r="78" spans="1:13" x14ac:dyDescent="0.25">
      <c r="A78" t="s">
        <v>120</v>
      </c>
      <c r="B78">
        <v>302</v>
      </c>
      <c r="C78">
        <v>34</v>
      </c>
      <c r="D78" s="13" t="str">
        <f>IFERROR(VLOOKUP(C78,[1]Sheet1!$A$1:$C$41,2,0),"Merchant Not Found")</f>
        <v>Merchant_034</v>
      </c>
      <c r="E78" s="7">
        <v>46046.636805555601</v>
      </c>
      <c r="F78">
        <v>49</v>
      </c>
      <c r="G78" s="8" t="s">
        <v>44</v>
      </c>
      <c r="H78" s="8" t="s">
        <v>40</v>
      </c>
      <c r="I78">
        <v>76</v>
      </c>
      <c r="J78" s="9">
        <f t="shared" si="2"/>
        <v>46046</v>
      </c>
      <c r="K78" s="10">
        <f>INDEX(Daily_Merchant_Pivot!$B$3:$AO$32,MATCH(J78,Daily_Merchant_Pivot!$A$3:$A$32,0),MATCH(C78,Daily_Merchant_Pivot!$B$2:$AO$2,0))</f>
        <v>548</v>
      </c>
      <c r="L78" s="3" t="str">
        <f>INDEX(Merchant_Region_Map!$D$3:$D$42,MATCH(C78,Merchant_Region_Map!$A$3:$A$42,0))</f>
        <v>South</v>
      </c>
      <c r="M78" s="11" t="str">
        <f t="shared" si="3"/>
        <v/>
      </c>
    </row>
    <row r="79" spans="1:13" x14ac:dyDescent="0.25">
      <c r="A79" t="s">
        <v>121</v>
      </c>
      <c r="B79">
        <v>100</v>
      </c>
      <c r="C79">
        <v>19</v>
      </c>
      <c r="D79" s="13" t="str">
        <f>IFERROR(VLOOKUP(C79,[1]Sheet1!$A$1:$C$41,2,0),"Merchant Not Found")</f>
        <v>Merchant_019</v>
      </c>
      <c r="E79" s="7">
        <v>46032.161805555603</v>
      </c>
      <c r="F79">
        <v>2999</v>
      </c>
      <c r="G79" s="8" t="s">
        <v>44</v>
      </c>
      <c r="H79" s="8" t="s">
        <v>40</v>
      </c>
      <c r="I79">
        <v>29</v>
      </c>
      <c r="J79" s="9">
        <f t="shared" si="2"/>
        <v>46032</v>
      </c>
      <c r="K79" s="10">
        <f>INDEX(Daily_Merchant_Pivot!$B$3:$AO$32,MATCH(J79,Daily_Merchant_Pivot!$A$3:$A$32,0),MATCH(C79,Daily_Merchant_Pivot!$B$2:$AO$2,0))</f>
        <v>2999</v>
      </c>
      <c r="L79" s="3" t="str">
        <f>INDEX(Merchant_Region_Map!$D$3:$D$42,MATCH(C79,Merchant_Region_Map!$A$3:$A$42,0))</f>
        <v>North</v>
      </c>
      <c r="M79" s="11" t="str">
        <f t="shared" si="3"/>
        <v/>
      </c>
    </row>
    <row r="80" spans="1:13" x14ac:dyDescent="0.25">
      <c r="A80" t="s">
        <v>122</v>
      </c>
      <c r="B80">
        <v>8</v>
      </c>
      <c r="C80">
        <v>35</v>
      </c>
      <c r="D80" s="13" t="str">
        <f>IFERROR(VLOOKUP(C80,[1]Sheet1!$A$1:$C$41,2,0),"Merchant Not Found")</f>
        <v>Merchant_035</v>
      </c>
      <c r="E80" s="7">
        <v>46034.221527777801</v>
      </c>
      <c r="F80">
        <v>99</v>
      </c>
      <c r="G80" s="8" t="s">
        <v>39</v>
      </c>
      <c r="H80" s="8" t="s">
        <v>40</v>
      </c>
      <c r="I80">
        <v>16</v>
      </c>
      <c r="J80" s="9">
        <f t="shared" si="2"/>
        <v>46034</v>
      </c>
      <c r="K80" s="10">
        <f>INDEX(Daily_Merchant_Pivot!$B$3:$AO$32,MATCH(J80,Daily_Merchant_Pivot!$A$3:$A$32,0),MATCH(C80,Daily_Merchant_Pivot!$B$2:$AO$2,0))</f>
        <v>99</v>
      </c>
      <c r="L80" s="3" t="str">
        <f>INDEX(Merchant_Region_Map!$D$3:$D$42,MATCH(C80,Merchant_Region_Map!$A$3:$A$42,0))</f>
        <v>East</v>
      </c>
      <c r="M80" s="11" t="str">
        <f t="shared" si="3"/>
        <v/>
      </c>
    </row>
    <row r="81" spans="1:13" x14ac:dyDescent="0.25">
      <c r="A81" t="s">
        <v>123</v>
      </c>
      <c r="B81">
        <v>284</v>
      </c>
      <c r="C81">
        <v>19</v>
      </c>
      <c r="D81" s="13" t="str">
        <f>IFERROR(VLOOKUP(C81,[1]Sheet1!$A$1:$C$41,2,0),"Merchant Not Found")</f>
        <v>Merchant_019</v>
      </c>
      <c r="E81" s="7">
        <v>46031.043749999997</v>
      </c>
      <c r="F81">
        <v>99</v>
      </c>
      <c r="G81" s="8" t="s">
        <v>39</v>
      </c>
      <c r="H81" s="8" t="s">
        <v>40</v>
      </c>
      <c r="I81">
        <v>89</v>
      </c>
      <c r="J81" s="9">
        <f t="shared" si="2"/>
        <v>46031</v>
      </c>
      <c r="K81" s="10">
        <f>INDEX(Daily_Merchant_Pivot!$B$3:$AO$32,MATCH(J81,Daily_Merchant_Pivot!$A$3:$A$32,0),MATCH(C81,Daily_Merchant_Pivot!$B$2:$AO$2,0))</f>
        <v>99</v>
      </c>
      <c r="L81" s="3" t="str">
        <f>INDEX(Merchant_Region_Map!$D$3:$D$42,MATCH(C81,Merchant_Region_Map!$A$3:$A$42,0))</f>
        <v>North</v>
      </c>
      <c r="M81" s="11" t="str">
        <f t="shared" si="3"/>
        <v/>
      </c>
    </row>
    <row r="82" spans="1:13" x14ac:dyDescent="0.25">
      <c r="A82" t="s">
        <v>124</v>
      </c>
      <c r="B82">
        <v>252</v>
      </c>
      <c r="C82">
        <v>7</v>
      </c>
      <c r="D82" s="13" t="str">
        <f>IFERROR(VLOOKUP(C82,[1]Sheet1!$A$1:$C$41,2,0),"Merchant Not Found")</f>
        <v>Merchant_007</v>
      </c>
      <c r="E82" s="7">
        <v>46027.871527777803</v>
      </c>
      <c r="F82">
        <v>2999</v>
      </c>
      <c r="G82" s="8" t="s">
        <v>42</v>
      </c>
      <c r="H82" s="8" t="s">
        <v>40</v>
      </c>
      <c r="I82">
        <v>1</v>
      </c>
      <c r="J82" s="9">
        <f t="shared" si="2"/>
        <v>46027</v>
      </c>
      <c r="K82" s="10">
        <f>INDEX(Daily_Merchant_Pivot!$B$3:$AO$32,MATCH(J82,Daily_Merchant_Pivot!$A$3:$A$32,0),MATCH(C82,Daily_Merchant_Pivot!$B$2:$AO$2,0))</f>
        <v>4498</v>
      </c>
      <c r="L82" s="3" t="str">
        <f>INDEX(Merchant_Region_Map!$D$3:$D$42,MATCH(C82,Merchant_Region_Map!$A$3:$A$42,0))</f>
        <v>East</v>
      </c>
      <c r="M82" s="11" t="str">
        <f t="shared" si="3"/>
        <v/>
      </c>
    </row>
    <row r="83" spans="1:13" x14ac:dyDescent="0.25">
      <c r="A83" t="s">
        <v>125</v>
      </c>
      <c r="B83">
        <v>246</v>
      </c>
      <c r="C83">
        <v>29</v>
      </c>
      <c r="D83" s="13" t="str">
        <f>IFERROR(VLOOKUP(C83,[1]Sheet1!$A$1:$C$41,2,0),"Merchant Not Found")</f>
        <v>Merchant_029</v>
      </c>
      <c r="E83" s="7">
        <v>46041.395833333299</v>
      </c>
      <c r="F83">
        <v>49</v>
      </c>
      <c r="G83" s="8" t="s">
        <v>42</v>
      </c>
      <c r="H83" s="8" t="s">
        <v>40</v>
      </c>
      <c r="I83">
        <v>43</v>
      </c>
      <c r="J83" s="9">
        <f t="shared" si="2"/>
        <v>46041</v>
      </c>
      <c r="K83" s="10">
        <f>INDEX(Daily_Merchant_Pivot!$B$3:$AO$32,MATCH(J83,Daily_Merchant_Pivot!$A$3:$A$32,0),MATCH(C83,Daily_Merchant_Pivot!$B$2:$AO$2,0))</f>
        <v>49</v>
      </c>
      <c r="L83" s="3" t="str">
        <f>INDEX(Merchant_Region_Map!$D$3:$D$42,MATCH(C83,Merchant_Region_Map!$A$3:$A$42,0))</f>
        <v>North</v>
      </c>
      <c r="M83" s="11" t="str">
        <f t="shared" si="3"/>
        <v/>
      </c>
    </row>
    <row r="84" spans="1:13" x14ac:dyDescent="0.25">
      <c r="A84" t="s">
        <v>126</v>
      </c>
      <c r="B84">
        <v>245</v>
      </c>
      <c r="C84">
        <v>8</v>
      </c>
      <c r="D84" s="13" t="str">
        <f>IFERROR(VLOOKUP(C84,[1]Sheet1!$A$1:$C$41,2,0),"Merchant Not Found")</f>
        <v>Merchant_008</v>
      </c>
      <c r="E84" s="7">
        <v>46028.052777777797</v>
      </c>
      <c r="F84">
        <v>49</v>
      </c>
      <c r="G84" s="8" t="s">
        <v>39</v>
      </c>
      <c r="H84" s="8" t="s">
        <v>66</v>
      </c>
      <c r="I84">
        <v>8</v>
      </c>
      <c r="J84" s="9">
        <f t="shared" si="2"/>
        <v>46028</v>
      </c>
      <c r="K84" s="10">
        <f>INDEX(Daily_Merchant_Pivot!$B$3:$AO$32,MATCH(J84,Daily_Merchant_Pivot!$A$3:$A$32,0),MATCH(C84,Daily_Merchant_Pivot!$B$2:$AO$2,0))</f>
        <v>0</v>
      </c>
      <c r="L84" s="3" t="str">
        <f>INDEX(Merchant_Region_Map!$D$3:$D$42,MATCH(C84,Merchant_Region_Map!$A$3:$A$42,0))</f>
        <v>North</v>
      </c>
      <c r="M84" s="11" t="str">
        <f t="shared" si="3"/>
        <v/>
      </c>
    </row>
    <row r="85" spans="1:13" x14ac:dyDescent="0.25">
      <c r="A85" t="s">
        <v>127</v>
      </c>
      <c r="B85">
        <v>296</v>
      </c>
      <c r="C85">
        <v>4</v>
      </c>
      <c r="D85" s="13" t="str">
        <f>IFERROR(VLOOKUP(C85,[1]Sheet1!$A$1:$C$41,2,0),"Merchant Not Found")</f>
        <v>Merchant_004</v>
      </c>
      <c r="E85" s="7">
        <v>46035.627777777801</v>
      </c>
      <c r="F85">
        <v>799</v>
      </c>
      <c r="G85" s="8" t="s">
        <v>42</v>
      </c>
      <c r="H85" s="8" t="s">
        <v>40</v>
      </c>
      <c r="I85">
        <v>19</v>
      </c>
      <c r="J85" s="9">
        <f t="shared" si="2"/>
        <v>46035</v>
      </c>
      <c r="K85" s="10">
        <f>INDEX(Daily_Merchant_Pivot!$B$3:$AO$32,MATCH(J85,Daily_Merchant_Pivot!$A$3:$A$32,0),MATCH(C85,Daily_Merchant_Pivot!$B$2:$AO$2,0))</f>
        <v>948</v>
      </c>
      <c r="L85" s="3" t="str">
        <f>INDEX(Merchant_Region_Map!$D$3:$D$42,MATCH(C85,Merchant_Region_Map!$A$3:$A$42,0))</f>
        <v>East</v>
      </c>
      <c r="M85" s="11" t="str">
        <f t="shared" si="3"/>
        <v/>
      </c>
    </row>
    <row r="86" spans="1:13" x14ac:dyDescent="0.25">
      <c r="A86" t="s">
        <v>128</v>
      </c>
      <c r="B86">
        <v>44</v>
      </c>
      <c r="C86">
        <v>16</v>
      </c>
      <c r="D86" s="13" t="str">
        <f>IFERROR(VLOOKUP(C86,[1]Sheet1!$A$1:$C$41,2,0),"Merchant Not Found")</f>
        <v>Merchant_016</v>
      </c>
      <c r="E86" s="7">
        <v>46027.7631944444</v>
      </c>
      <c r="F86">
        <v>149</v>
      </c>
      <c r="G86" s="8" t="s">
        <v>39</v>
      </c>
      <c r="H86" s="8" t="s">
        <v>40</v>
      </c>
      <c r="I86">
        <v>15</v>
      </c>
      <c r="J86" s="9">
        <f t="shared" si="2"/>
        <v>46027</v>
      </c>
      <c r="K86" s="10">
        <f>INDEX(Daily_Merchant_Pivot!$B$3:$AO$32,MATCH(J86,Daily_Merchant_Pivot!$A$3:$A$32,0),MATCH(C86,Daily_Merchant_Pivot!$B$2:$AO$2,0))</f>
        <v>149</v>
      </c>
      <c r="L86" s="3" t="str">
        <f>INDEX(Merchant_Region_Map!$D$3:$D$42,MATCH(C86,Merchant_Region_Map!$A$3:$A$42,0))</f>
        <v>West</v>
      </c>
      <c r="M86" s="11" t="str">
        <f t="shared" si="3"/>
        <v/>
      </c>
    </row>
    <row r="87" spans="1:13" x14ac:dyDescent="0.25">
      <c r="A87" t="s">
        <v>129</v>
      </c>
      <c r="B87">
        <v>306</v>
      </c>
      <c r="C87">
        <v>40</v>
      </c>
      <c r="D87" s="13" t="str">
        <f>IFERROR(VLOOKUP(C87,[1]Sheet1!$A$1:$C$41,2,0),"Merchant Not Found")</f>
        <v>Merchant_040</v>
      </c>
      <c r="E87" s="7">
        <v>46040.568055555603</v>
      </c>
      <c r="F87">
        <v>799</v>
      </c>
      <c r="G87" s="8" t="s">
        <v>52</v>
      </c>
      <c r="H87" s="8" t="s">
        <v>40</v>
      </c>
      <c r="I87">
        <v>28</v>
      </c>
      <c r="J87" s="9">
        <f t="shared" si="2"/>
        <v>46040</v>
      </c>
      <c r="K87" s="10">
        <f>INDEX(Daily_Merchant_Pivot!$B$3:$AO$32,MATCH(J87,Daily_Merchant_Pivot!$A$3:$A$32,0),MATCH(C87,Daily_Merchant_Pivot!$B$2:$AO$2,0))</f>
        <v>799</v>
      </c>
      <c r="L87" s="3" t="str">
        <f>INDEX(Merchant_Region_Map!$D$3:$D$42,MATCH(C87,Merchant_Region_Map!$A$3:$A$42,0))</f>
        <v>South</v>
      </c>
      <c r="M87" s="11" t="str">
        <f t="shared" si="3"/>
        <v/>
      </c>
    </row>
    <row r="88" spans="1:13" x14ac:dyDescent="0.25">
      <c r="A88" t="s">
        <v>130</v>
      </c>
      <c r="B88">
        <v>231</v>
      </c>
      <c r="C88">
        <v>29</v>
      </c>
      <c r="D88" s="13" t="str">
        <f>IFERROR(VLOOKUP(C88,[1]Sheet1!$A$1:$C$41,2,0),"Merchant Not Found")</f>
        <v>Merchant_029</v>
      </c>
      <c r="E88" s="7">
        <v>46047.683333333298</v>
      </c>
      <c r="F88">
        <v>299</v>
      </c>
      <c r="G88" s="8" t="s">
        <v>39</v>
      </c>
      <c r="H88" s="8" t="s">
        <v>40</v>
      </c>
      <c r="I88">
        <v>38</v>
      </c>
      <c r="J88" s="9">
        <f t="shared" si="2"/>
        <v>46047</v>
      </c>
      <c r="K88" s="10">
        <f>INDEX(Daily_Merchant_Pivot!$B$3:$AO$32,MATCH(J88,Daily_Merchant_Pivot!$A$3:$A$32,0),MATCH(C88,Daily_Merchant_Pivot!$B$2:$AO$2,0))</f>
        <v>299</v>
      </c>
      <c r="L88" s="3" t="str">
        <f>INDEX(Merchant_Region_Map!$D$3:$D$42,MATCH(C88,Merchant_Region_Map!$A$3:$A$42,0))</f>
        <v>North</v>
      </c>
      <c r="M88" s="11" t="str">
        <f t="shared" si="3"/>
        <v/>
      </c>
    </row>
    <row r="89" spans="1:13" x14ac:dyDescent="0.25">
      <c r="A89" t="s">
        <v>131</v>
      </c>
      <c r="B89">
        <v>51</v>
      </c>
      <c r="C89">
        <v>14</v>
      </c>
      <c r="D89" s="13" t="str">
        <f>IFERROR(VLOOKUP(C89,[1]Sheet1!$A$1:$C$41,2,0),"Merchant Not Found")</f>
        <v>Merchant_014</v>
      </c>
      <c r="E89" s="7">
        <v>46024.824305555601</v>
      </c>
      <c r="F89">
        <v>1499</v>
      </c>
      <c r="G89" s="8" t="s">
        <v>39</v>
      </c>
      <c r="H89" s="8" t="s">
        <v>40</v>
      </c>
      <c r="I89">
        <v>80</v>
      </c>
      <c r="J89" s="9">
        <f t="shared" si="2"/>
        <v>46024</v>
      </c>
      <c r="K89" s="10">
        <f>INDEX(Daily_Merchant_Pivot!$B$3:$AO$32,MATCH(J89,Daily_Merchant_Pivot!$A$3:$A$32,0),MATCH(C89,Daily_Merchant_Pivot!$B$2:$AO$2,0))</f>
        <v>1499</v>
      </c>
      <c r="L89" s="3" t="str">
        <f>INDEX(Merchant_Region_Map!$D$3:$D$42,MATCH(C89,Merchant_Region_Map!$A$3:$A$42,0))</f>
        <v>East</v>
      </c>
      <c r="M89" s="11" t="str">
        <f t="shared" si="3"/>
        <v/>
      </c>
    </row>
    <row r="90" spans="1:13" x14ac:dyDescent="0.25">
      <c r="A90" t="s">
        <v>132</v>
      </c>
      <c r="B90">
        <v>42</v>
      </c>
      <c r="C90">
        <v>11</v>
      </c>
      <c r="D90" s="13" t="str">
        <f>IFERROR(VLOOKUP(C90,[1]Sheet1!$A$1:$C$41,2,0),"Merchant Not Found")</f>
        <v>Merchant_011</v>
      </c>
      <c r="E90" s="7">
        <v>46029.362500000003</v>
      </c>
      <c r="F90">
        <v>49</v>
      </c>
      <c r="G90" s="8" t="s">
        <v>42</v>
      </c>
      <c r="H90" s="8" t="s">
        <v>40</v>
      </c>
      <c r="I90">
        <v>30</v>
      </c>
      <c r="J90" s="9">
        <f t="shared" si="2"/>
        <v>46029</v>
      </c>
      <c r="K90" s="10">
        <f>INDEX(Daily_Merchant_Pivot!$B$3:$AO$32,MATCH(J90,Daily_Merchant_Pivot!$A$3:$A$32,0),MATCH(C90,Daily_Merchant_Pivot!$B$2:$AO$2,0))</f>
        <v>49</v>
      </c>
      <c r="L90" s="3" t="str">
        <f>INDEX(Merchant_Region_Map!$D$3:$D$42,MATCH(C90,Merchant_Region_Map!$A$3:$A$42,0))</f>
        <v>North</v>
      </c>
      <c r="M90" s="11" t="str">
        <f t="shared" si="3"/>
        <v/>
      </c>
    </row>
    <row r="91" spans="1:13" x14ac:dyDescent="0.25">
      <c r="A91" t="s">
        <v>133</v>
      </c>
      <c r="B91">
        <v>81</v>
      </c>
      <c r="C91">
        <v>1</v>
      </c>
      <c r="D91" s="13" t="str">
        <f>IFERROR(VLOOKUP(C91,[1]Sheet1!$A$1:$C$41,2,0),"Merchant Not Found")</f>
        <v>Merchant_001</v>
      </c>
      <c r="E91" s="7">
        <v>46028.711111111101</v>
      </c>
      <c r="F91">
        <v>149</v>
      </c>
      <c r="G91" s="8" t="s">
        <v>39</v>
      </c>
      <c r="H91" s="8" t="s">
        <v>40</v>
      </c>
      <c r="I91">
        <v>52</v>
      </c>
      <c r="J91" s="9">
        <f t="shared" si="2"/>
        <v>46028</v>
      </c>
      <c r="K91" s="10">
        <f>INDEX(Daily_Merchant_Pivot!$B$3:$AO$32,MATCH(J91,Daily_Merchant_Pivot!$A$3:$A$32,0),MATCH(C91,Daily_Merchant_Pivot!$B$2:$AO$2,0))</f>
        <v>149</v>
      </c>
      <c r="L91" s="3" t="str">
        <f>INDEX(Merchant_Region_Map!$D$3:$D$42,MATCH(C91,Merchant_Region_Map!$A$3:$A$42,0))</f>
        <v>South</v>
      </c>
      <c r="M91" s="11" t="str">
        <f t="shared" si="3"/>
        <v/>
      </c>
    </row>
    <row r="92" spans="1:13" x14ac:dyDescent="0.25">
      <c r="A92" t="s">
        <v>134</v>
      </c>
      <c r="B92">
        <v>241</v>
      </c>
      <c r="C92">
        <v>19</v>
      </c>
      <c r="D92" s="13" t="str">
        <f>IFERROR(VLOOKUP(C92,[1]Sheet1!$A$1:$C$41,2,0),"Merchant Not Found")</f>
        <v>Merchant_019</v>
      </c>
      <c r="E92" s="7">
        <v>46037.943055555603</v>
      </c>
      <c r="F92">
        <v>299</v>
      </c>
      <c r="G92" s="8" t="s">
        <v>39</v>
      </c>
      <c r="H92" s="8" t="s">
        <v>40</v>
      </c>
      <c r="I92">
        <v>4</v>
      </c>
      <c r="J92" s="9">
        <f t="shared" si="2"/>
        <v>46037</v>
      </c>
      <c r="K92" s="10">
        <f>INDEX(Daily_Merchant_Pivot!$B$3:$AO$32,MATCH(J92,Daily_Merchant_Pivot!$A$3:$A$32,0),MATCH(C92,Daily_Merchant_Pivot!$B$2:$AO$2,0))</f>
        <v>299</v>
      </c>
      <c r="L92" s="3" t="str">
        <f>INDEX(Merchant_Region_Map!$D$3:$D$42,MATCH(C92,Merchant_Region_Map!$A$3:$A$42,0))</f>
        <v>North</v>
      </c>
      <c r="M92" s="11" t="str">
        <f t="shared" si="3"/>
        <v/>
      </c>
    </row>
    <row r="93" spans="1:13" x14ac:dyDescent="0.25">
      <c r="A93" t="s">
        <v>135</v>
      </c>
      <c r="B93">
        <v>145</v>
      </c>
      <c r="C93">
        <v>30</v>
      </c>
      <c r="D93" s="13" t="str">
        <f>IFERROR(VLOOKUP(C93,[1]Sheet1!$A$1:$C$41,2,0),"Merchant Not Found")</f>
        <v>Merchant_030</v>
      </c>
      <c r="E93" s="7">
        <v>46030.40625</v>
      </c>
      <c r="F93">
        <v>799</v>
      </c>
      <c r="G93" s="8" t="s">
        <v>39</v>
      </c>
      <c r="H93" s="8" t="s">
        <v>40</v>
      </c>
      <c r="I93">
        <v>9</v>
      </c>
      <c r="J93" s="9">
        <f t="shared" si="2"/>
        <v>46030</v>
      </c>
      <c r="K93" s="10">
        <f>INDEX(Daily_Merchant_Pivot!$B$3:$AO$32,MATCH(J93,Daily_Merchant_Pivot!$A$3:$A$32,0),MATCH(C93,Daily_Merchant_Pivot!$B$2:$AO$2,0))</f>
        <v>1197</v>
      </c>
      <c r="L93" s="3" t="str">
        <f>INDEX(Merchant_Region_Map!$D$3:$D$42,MATCH(C93,Merchant_Region_Map!$A$3:$A$42,0))</f>
        <v>West</v>
      </c>
      <c r="M93" s="11" t="str">
        <f t="shared" si="3"/>
        <v/>
      </c>
    </row>
    <row r="94" spans="1:13" x14ac:dyDescent="0.25">
      <c r="A94" t="s">
        <v>136</v>
      </c>
      <c r="B94">
        <v>136</v>
      </c>
      <c r="C94">
        <v>38</v>
      </c>
      <c r="D94" s="13" t="str">
        <f>IFERROR(VLOOKUP(C94,[1]Sheet1!$A$1:$C$41,2,0),"Merchant Not Found")</f>
        <v>Merchant_038</v>
      </c>
      <c r="E94" s="7">
        <v>46044.332638888904</v>
      </c>
      <c r="F94">
        <v>299</v>
      </c>
      <c r="G94" s="8" t="s">
        <v>52</v>
      </c>
      <c r="H94" s="8" t="s">
        <v>40</v>
      </c>
      <c r="I94">
        <v>84</v>
      </c>
      <c r="J94" s="9">
        <f t="shared" si="2"/>
        <v>46044</v>
      </c>
      <c r="K94" s="10">
        <f>INDEX(Daily_Merchant_Pivot!$B$3:$AO$32,MATCH(J94,Daily_Merchant_Pivot!$A$3:$A$32,0),MATCH(C94,Daily_Merchant_Pivot!$B$2:$AO$2,0))</f>
        <v>299</v>
      </c>
      <c r="L94" s="3" t="str">
        <f>INDEX(Merchant_Region_Map!$D$3:$D$42,MATCH(C94,Merchant_Region_Map!$A$3:$A$42,0))</f>
        <v>East</v>
      </c>
      <c r="M94" s="11" t="str">
        <f t="shared" si="3"/>
        <v/>
      </c>
    </row>
    <row r="95" spans="1:13" x14ac:dyDescent="0.25">
      <c r="A95" t="s">
        <v>137</v>
      </c>
      <c r="B95">
        <v>59</v>
      </c>
      <c r="C95">
        <v>35</v>
      </c>
      <c r="D95" s="13" t="str">
        <f>IFERROR(VLOOKUP(C95,[1]Sheet1!$A$1:$C$41,2,0),"Merchant Not Found")</f>
        <v>Merchant_035</v>
      </c>
      <c r="E95" s="7">
        <v>46048.268750000003</v>
      </c>
      <c r="F95">
        <v>499</v>
      </c>
      <c r="G95" s="8" t="s">
        <v>39</v>
      </c>
      <c r="H95" s="8" t="s">
        <v>40</v>
      </c>
      <c r="I95">
        <v>28</v>
      </c>
      <c r="J95" s="9">
        <f t="shared" si="2"/>
        <v>46048</v>
      </c>
      <c r="K95" s="10">
        <f>INDEX(Daily_Merchant_Pivot!$B$3:$AO$32,MATCH(J95,Daily_Merchant_Pivot!$A$3:$A$32,0),MATCH(C95,Daily_Merchant_Pivot!$B$2:$AO$2,0))</f>
        <v>499</v>
      </c>
      <c r="L95" s="3" t="str">
        <f>INDEX(Merchant_Region_Map!$D$3:$D$42,MATCH(C95,Merchant_Region_Map!$A$3:$A$42,0))</f>
        <v>East</v>
      </c>
      <c r="M95" s="11" t="str">
        <f t="shared" si="3"/>
        <v/>
      </c>
    </row>
    <row r="96" spans="1:13" x14ac:dyDescent="0.25">
      <c r="A96" t="s">
        <v>138</v>
      </c>
      <c r="B96">
        <v>137</v>
      </c>
      <c r="C96">
        <v>10</v>
      </c>
      <c r="D96" s="13" t="str">
        <f>IFERROR(VLOOKUP(C96,[1]Sheet1!$A$1:$C$41,2,0),"Merchant Not Found")</f>
        <v>Merchant_010</v>
      </c>
      <c r="E96" s="7">
        <v>46043.206944444399</v>
      </c>
      <c r="F96">
        <v>299</v>
      </c>
      <c r="G96" s="8" t="s">
        <v>39</v>
      </c>
      <c r="H96" s="8" t="s">
        <v>40</v>
      </c>
      <c r="I96">
        <v>9</v>
      </c>
      <c r="J96" s="9">
        <f t="shared" si="2"/>
        <v>46043</v>
      </c>
      <c r="K96" s="10">
        <f>INDEX(Daily_Merchant_Pivot!$B$3:$AO$32,MATCH(J96,Daily_Merchant_Pivot!$A$3:$A$32,0),MATCH(C96,Daily_Merchant_Pivot!$B$2:$AO$2,0))</f>
        <v>398</v>
      </c>
      <c r="L96" s="3" t="str">
        <f>INDEX(Merchant_Region_Map!$D$3:$D$42,MATCH(C96,Merchant_Region_Map!$A$3:$A$42,0))</f>
        <v>West</v>
      </c>
      <c r="M96" s="11" t="str">
        <f t="shared" si="3"/>
        <v/>
      </c>
    </row>
    <row r="97" spans="1:13" x14ac:dyDescent="0.25">
      <c r="A97" t="s">
        <v>139</v>
      </c>
      <c r="B97">
        <v>158</v>
      </c>
      <c r="C97">
        <v>39</v>
      </c>
      <c r="D97" s="13" t="str">
        <f>IFERROR(VLOOKUP(C97,[1]Sheet1!$A$1:$C$41,2,0),"Merchant Not Found")</f>
        <v>Merchant_039</v>
      </c>
      <c r="E97" s="7">
        <v>46024.243055555598</v>
      </c>
      <c r="F97">
        <v>499</v>
      </c>
      <c r="G97" s="8" t="s">
        <v>44</v>
      </c>
      <c r="H97" s="8" t="s">
        <v>40</v>
      </c>
      <c r="I97">
        <v>95</v>
      </c>
      <c r="J97" s="9">
        <f t="shared" si="2"/>
        <v>46024</v>
      </c>
      <c r="K97" s="10">
        <f>INDEX(Daily_Merchant_Pivot!$B$3:$AO$32,MATCH(J97,Daily_Merchant_Pivot!$A$3:$A$32,0),MATCH(C97,Daily_Merchant_Pivot!$B$2:$AO$2,0))</f>
        <v>499</v>
      </c>
      <c r="L97" s="3" t="str">
        <f>INDEX(Merchant_Region_Map!$D$3:$D$42,MATCH(C97,Merchant_Region_Map!$A$3:$A$42,0))</f>
        <v>North</v>
      </c>
      <c r="M97" s="11" t="str">
        <f t="shared" si="3"/>
        <v/>
      </c>
    </row>
    <row r="98" spans="1:13" x14ac:dyDescent="0.25">
      <c r="A98" t="s">
        <v>140</v>
      </c>
      <c r="B98">
        <v>148</v>
      </c>
      <c r="C98">
        <v>29</v>
      </c>
      <c r="D98" s="13" t="str">
        <f>IFERROR(VLOOKUP(C98,[1]Sheet1!$A$1:$C$41,2,0),"Merchant Not Found")</f>
        <v>Merchant_029</v>
      </c>
      <c r="E98" s="7">
        <v>46049.7902777778</v>
      </c>
      <c r="F98">
        <v>99</v>
      </c>
      <c r="G98" s="8" t="s">
        <v>52</v>
      </c>
      <c r="H98" s="8" t="s">
        <v>40</v>
      </c>
      <c r="I98">
        <v>15</v>
      </c>
      <c r="J98" s="9">
        <f t="shared" si="2"/>
        <v>46049</v>
      </c>
      <c r="K98" s="10">
        <f>INDEX(Daily_Merchant_Pivot!$B$3:$AO$32,MATCH(J98,Daily_Merchant_Pivot!$A$3:$A$32,0),MATCH(C98,Daily_Merchant_Pivot!$B$2:$AO$2,0))</f>
        <v>99</v>
      </c>
      <c r="L98" s="3" t="str">
        <f>INDEX(Merchant_Region_Map!$D$3:$D$42,MATCH(C98,Merchant_Region_Map!$A$3:$A$42,0))</f>
        <v>North</v>
      </c>
      <c r="M98" s="11" t="str">
        <f t="shared" si="3"/>
        <v/>
      </c>
    </row>
    <row r="99" spans="1:13" x14ac:dyDescent="0.25">
      <c r="A99" t="s">
        <v>141</v>
      </c>
      <c r="B99">
        <v>207</v>
      </c>
      <c r="C99">
        <v>18</v>
      </c>
      <c r="D99" s="13" t="str">
        <f>IFERROR(VLOOKUP(C99,[1]Sheet1!$A$1:$C$41,2,0),"Merchant Not Found")</f>
        <v>Merchant_018</v>
      </c>
      <c r="E99" s="7">
        <v>46037.929861111101</v>
      </c>
      <c r="F99">
        <v>149</v>
      </c>
      <c r="G99" s="8" t="s">
        <v>39</v>
      </c>
      <c r="H99" s="8" t="s">
        <v>40</v>
      </c>
      <c r="I99">
        <v>64</v>
      </c>
      <c r="J99" s="9">
        <f t="shared" si="2"/>
        <v>46037</v>
      </c>
      <c r="K99" s="10">
        <f>INDEX(Daily_Merchant_Pivot!$B$3:$AO$32,MATCH(J99,Daily_Merchant_Pivot!$A$3:$A$32,0),MATCH(C99,Daily_Merchant_Pivot!$B$2:$AO$2,0))</f>
        <v>149</v>
      </c>
      <c r="L99" s="3" t="str">
        <f>INDEX(Merchant_Region_Map!$D$3:$D$42,MATCH(C99,Merchant_Region_Map!$A$3:$A$42,0))</f>
        <v>West</v>
      </c>
      <c r="M99" s="11" t="str">
        <f t="shared" si="3"/>
        <v/>
      </c>
    </row>
    <row r="100" spans="1:13" x14ac:dyDescent="0.25">
      <c r="A100" t="s">
        <v>142</v>
      </c>
      <c r="B100">
        <v>42</v>
      </c>
      <c r="C100">
        <v>39</v>
      </c>
      <c r="D100" s="13" t="str">
        <f>IFERROR(VLOOKUP(C100,[1]Sheet1!$A$1:$C$41,2,0),"Merchant Not Found")</f>
        <v>Merchant_039</v>
      </c>
      <c r="E100" s="7">
        <v>46040.644444444399</v>
      </c>
      <c r="F100">
        <v>2999</v>
      </c>
      <c r="G100" s="8" t="s">
        <v>52</v>
      </c>
      <c r="H100" s="8" t="s">
        <v>40</v>
      </c>
      <c r="I100">
        <v>5</v>
      </c>
      <c r="J100" s="9">
        <f t="shared" si="2"/>
        <v>46040</v>
      </c>
      <c r="K100" s="10">
        <f>INDEX(Daily_Merchant_Pivot!$B$3:$AO$32,MATCH(J100,Daily_Merchant_Pivot!$A$3:$A$32,0),MATCH(C100,Daily_Merchant_Pivot!$B$2:$AO$2,0))</f>
        <v>2999</v>
      </c>
      <c r="L100" s="3" t="str">
        <f>INDEX(Merchant_Region_Map!$D$3:$D$42,MATCH(C100,Merchant_Region_Map!$A$3:$A$42,0))</f>
        <v>North</v>
      </c>
      <c r="M100" s="11" t="str">
        <f t="shared" si="3"/>
        <v/>
      </c>
    </row>
    <row r="101" spans="1:13" x14ac:dyDescent="0.25">
      <c r="A101" t="s">
        <v>143</v>
      </c>
      <c r="B101">
        <v>166</v>
      </c>
      <c r="C101">
        <v>39</v>
      </c>
      <c r="D101" s="13" t="str">
        <f>IFERROR(VLOOKUP(C101,[1]Sheet1!$A$1:$C$41,2,0),"Merchant Not Found")</f>
        <v>Merchant_039</v>
      </c>
      <c r="E101" s="7">
        <v>46051.574305555601</v>
      </c>
      <c r="F101">
        <v>149</v>
      </c>
      <c r="G101" s="8" t="s">
        <v>39</v>
      </c>
      <c r="H101" s="8" t="s">
        <v>40</v>
      </c>
      <c r="I101">
        <v>32</v>
      </c>
      <c r="J101" s="9">
        <f t="shared" si="2"/>
        <v>46051</v>
      </c>
      <c r="K101" s="10">
        <f>INDEX(Daily_Merchant_Pivot!$B$3:$AO$32,MATCH(J101,Daily_Merchant_Pivot!$A$3:$A$32,0),MATCH(C101,Daily_Merchant_Pivot!$B$2:$AO$2,0))</f>
        <v>149</v>
      </c>
      <c r="L101" s="3" t="str">
        <f>INDEX(Merchant_Region_Map!$D$3:$D$42,MATCH(C101,Merchant_Region_Map!$A$3:$A$42,0))</f>
        <v>North</v>
      </c>
      <c r="M101" s="11" t="str">
        <f t="shared" si="3"/>
        <v/>
      </c>
    </row>
    <row r="102" spans="1:13" x14ac:dyDescent="0.25">
      <c r="A102" t="s">
        <v>144</v>
      </c>
      <c r="B102">
        <v>346</v>
      </c>
      <c r="C102">
        <v>37</v>
      </c>
      <c r="D102" s="13" t="str">
        <f>IFERROR(VLOOKUP(C102,[1]Sheet1!$A$1:$C$41,2,0),"Merchant Not Found")</f>
        <v>Merchant_037</v>
      </c>
      <c r="E102" s="7">
        <v>46023.093055555597</v>
      </c>
      <c r="F102">
        <v>99</v>
      </c>
      <c r="G102" s="8" t="s">
        <v>39</v>
      </c>
      <c r="H102" s="8" t="s">
        <v>40</v>
      </c>
      <c r="I102">
        <v>75</v>
      </c>
      <c r="J102" s="9">
        <f t="shared" si="2"/>
        <v>46023</v>
      </c>
      <c r="K102" s="10">
        <f>INDEX(Daily_Merchant_Pivot!$B$3:$AO$32,MATCH(J102,Daily_Merchant_Pivot!$A$3:$A$32,0),MATCH(C102,Daily_Merchant_Pivot!$B$2:$AO$2,0))</f>
        <v>897</v>
      </c>
      <c r="L102" s="3" t="str">
        <f>INDEX(Merchant_Region_Map!$D$3:$D$42,MATCH(C102,Merchant_Region_Map!$A$3:$A$42,0))</f>
        <v>South</v>
      </c>
      <c r="M102" s="11" t="str">
        <f t="shared" si="3"/>
        <v/>
      </c>
    </row>
    <row r="103" spans="1:13" x14ac:dyDescent="0.25">
      <c r="A103" t="s">
        <v>145</v>
      </c>
      <c r="B103">
        <v>138</v>
      </c>
      <c r="C103">
        <v>37</v>
      </c>
      <c r="D103" s="13" t="str">
        <f>IFERROR(VLOOKUP(C103,[1]Sheet1!$A$1:$C$41,2,0),"Merchant Not Found")</f>
        <v>Merchant_037</v>
      </c>
      <c r="E103" s="7">
        <v>46023.911111111098</v>
      </c>
      <c r="F103">
        <v>499</v>
      </c>
      <c r="G103" s="8" t="s">
        <v>39</v>
      </c>
      <c r="H103" s="8" t="s">
        <v>40</v>
      </c>
      <c r="I103">
        <v>5</v>
      </c>
      <c r="J103" s="9">
        <f t="shared" si="2"/>
        <v>46023</v>
      </c>
      <c r="K103" s="10">
        <f>INDEX(Daily_Merchant_Pivot!$B$3:$AO$32,MATCH(J103,Daily_Merchant_Pivot!$A$3:$A$32,0),MATCH(C103,Daily_Merchant_Pivot!$B$2:$AO$2,0))</f>
        <v>897</v>
      </c>
      <c r="L103" s="3" t="str">
        <f>INDEX(Merchant_Region_Map!$D$3:$D$42,MATCH(C103,Merchant_Region_Map!$A$3:$A$42,0))</f>
        <v>South</v>
      </c>
      <c r="M103" s="11" t="str">
        <f t="shared" si="3"/>
        <v/>
      </c>
    </row>
    <row r="104" spans="1:13" x14ac:dyDescent="0.25">
      <c r="A104" t="s">
        <v>146</v>
      </c>
      <c r="B104">
        <v>266</v>
      </c>
      <c r="C104">
        <v>29</v>
      </c>
      <c r="D104" s="13" t="str">
        <f>IFERROR(VLOOKUP(C104,[1]Sheet1!$A$1:$C$41,2,0),"Merchant Not Found")</f>
        <v>Merchant_029</v>
      </c>
      <c r="E104" s="7">
        <v>46047.229166666701</v>
      </c>
      <c r="F104">
        <v>499</v>
      </c>
      <c r="G104" s="8" t="s">
        <v>42</v>
      </c>
      <c r="H104" s="8" t="s">
        <v>53</v>
      </c>
      <c r="I104">
        <v>35</v>
      </c>
      <c r="J104" s="9">
        <f t="shared" si="2"/>
        <v>46047</v>
      </c>
      <c r="K104" s="10">
        <f>INDEX(Daily_Merchant_Pivot!$B$3:$AO$32,MATCH(J104,Daily_Merchant_Pivot!$A$3:$A$32,0),MATCH(C104,Daily_Merchant_Pivot!$B$2:$AO$2,0))</f>
        <v>299</v>
      </c>
      <c r="L104" s="3" t="str">
        <f>INDEX(Merchant_Region_Map!$D$3:$D$42,MATCH(C104,Merchant_Region_Map!$A$3:$A$42,0))</f>
        <v>North</v>
      </c>
      <c r="M104" s="11" t="str">
        <f t="shared" si="3"/>
        <v/>
      </c>
    </row>
    <row r="105" spans="1:13" x14ac:dyDescent="0.25">
      <c r="A105" t="s">
        <v>147</v>
      </c>
      <c r="B105">
        <v>326</v>
      </c>
      <c r="C105">
        <v>32</v>
      </c>
      <c r="D105" s="13" t="str">
        <f>IFERROR(VLOOKUP(C105,[1]Sheet1!$A$1:$C$41,2,0),"Merchant Not Found")</f>
        <v>Merchant_032</v>
      </c>
      <c r="E105" s="7">
        <v>46028.768750000003</v>
      </c>
      <c r="F105">
        <v>149</v>
      </c>
      <c r="G105" s="8" t="s">
        <v>39</v>
      </c>
      <c r="H105" s="8" t="s">
        <v>40</v>
      </c>
      <c r="I105">
        <v>11</v>
      </c>
      <c r="J105" s="9">
        <f t="shared" si="2"/>
        <v>46028</v>
      </c>
      <c r="K105" s="10">
        <f>INDEX(Daily_Merchant_Pivot!$B$3:$AO$32,MATCH(J105,Daily_Merchant_Pivot!$A$3:$A$32,0),MATCH(C105,Daily_Merchant_Pivot!$B$2:$AO$2,0))</f>
        <v>149</v>
      </c>
      <c r="L105" s="3" t="str">
        <f>INDEX(Merchant_Region_Map!$D$3:$D$42,MATCH(C105,Merchant_Region_Map!$A$3:$A$42,0))</f>
        <v>West</v>
      </c>
      <c r="M105" s="11" t="str">
        <f t="shared" si="3"/>
        <v/>
      </c>
    </row>
    <row r="106" spans="1:13" x14ac:dyDescent="0.25">
      <c r="A106" t="s">
        <v>148</v>
      </c>
      <c r="B106">
        <v>171</v>
      </c>
      <c r="C106">
        <v>21</v>
      </c>
      <c r="D106" s="13" t="str">
        <f>IFERROR(VLOOKUP(C106,[1]Sheet1!$A$1:$C$41,2,0),"Merchant Not Found")</f>
        <v>Merchant_021</v>
      </c>
      <c r="E106" s="7">
        <v>46038.476388888899</v>
      </c>
      <c r="F106">
        <v>799</v>
      </c>
      <c r="G106" s="8" t="s">
        <v>39</v>
      </c>
      <c r="H106" s="8" t="s">
        <v>40</v>
      </c>
      <c r="I106">
        <v>85</v>
      </c>
      <c r="J106" s="9">
        <f t="shared" si="2"/>
        <v>46038</v>
      </c>
      <c r="K106" s="10">
        <f>INDEX(Daily_Merchant_Pivot!$B$3:$AO$32,MATCH(J106,Daily_Merchant_Pivot!$A$3:$A$32,0),MATCH(C106,Daily_Merchant_Pivot!$B$2:$AO$2,0))</f>
        <v>799</v>
      </c>
      <c r="L106" s="3" t="str">
        <f>INDEX(Merchant_Region_Map!$D$3:$D$42,MATCH(C106,Merchant_Region_Map!$A$3:$A$42,0))</f>
        <v>East</v>
      </c>
      <c r="M106" s="11" t="str">
        <f t="shared" si="3"/>
        <v/>
      </c>
    </row>
    <row r="107" spans="1:13" x14ac:dyDescent="0.25">
      <c r="A107" t="s">
        <v>149</v>
      </c>
      <c r="B107">
        <v>211</v>
      </c>
      <c r="C107">
        <v>32</v>
      </c>
      <c r="D107" s="13" t="str">
        <f>IFERROR(VLOOKUP(C107,[1]Sheet1!$A$1:$C$41,2,0),"Merchant Not Found")</f>
        <v>Merchant_032</v>
      </c>
      <c r="E107" s="7">
        <v>46026.222916666702</v>
      </c>
      <c r="F107">
        <v>49</v>
      </c>
      <c r="G107" s="8" t="s">
        <v>39</v>
      </c>
      <c r="H107" s="8" t="s">
        <v>40</v>
      </c>
      <c r="I107">
        <v>36</v>
      </c>
      <c r="J107" s="9">
        <f t="shared" si="2"/>
        <v>46026</v>
      </c>
      <c r="K107" s="10">
        <f>INDEX(Daily_Merchant_Pivot!$B$3:$AO$32,MATCH(J107,Daily_Merchant_Pivot!$A$3:$A$32,0),MATCH(C107,Daily_Merchant_Pivot!$B$2:$AO$2,0))</f>
        <v>49</v>
      </c>
      <c r="L107" s="3" t="str">
        <f>INDEX(Merchant_Region_Map!$D$3:$D$42,MATCH(C107,Merchant_Region_Map!$A$3:$A$42,0))</f>
        <v>West</v>
      </c>
      <c r="M107" s="11" t="str">
        <f t="shared" si="3"/>
        <v/>
      </c>
    </row>
    <row r="108" spans="1:13" x14ac:dyDescent="0.25">
      <c r="A108" t="s">
        <v>150</v>
      </c>
      <c r="B108">
        <v>282</v>
      </c>
      <c r="C108">
        <v>3</v>
      </c>
      <c r="D108" s="13" t="str">
        <f>IFERROR(VLOOKUP(C108,[1]Sheet1!$A$1:$C$41,2,0),"Merchant Not Found")</f>
        <v>Merchant_003</v>
      </c>
      <c r="E108" s="7">
        <v>46044.536111111098</v>
      </c>
      <c r="F108">
        <v>499</v>
      </c>
      <c r="G108" s="8" t="s">
        <v>39</v>
      </c>
      <c r="H108" s="8" t="s">
        <v>40</v>
      </c>
      <c r="I108">
        <v>58</v>
      </c>
      <c r="J108" s="9">
        <f t="shared" si="2"/>
        <v>46044</v>
      </c>
      <c r="K108" s="10">
        <f>INDEX(Daily_Merchant_Pivot!$B$3:$AO$32,MATCH(J108,Daily_Merchant_Pivot!$A$3:$A$32,0),MATCH(C108,Daily_Merchant_Pivot!$B$2:$AO$2,0))</f>
        <v>499</v>
      </c>
      <c r="L108" s="3" t="str">
        <f>INDEX(Merchant_Region_Map!$D$3:$D$42,MATCH(C108,Merchant_Region_Map!$A$3:$A$42,0))</f>
        <v>East</v>
      </c>
      <c r="M108" s="11" t="str">
        <f t="shared" si="3"/>
        <v/>
      </c>
    </row>
    <row r="109" spans="1:13" x14ac:dyDescent="0.25">
      <c r="A109" t="s">
        <v>151</v>
      </c>
      <c r="B109">
        <v>166</v>
      </c>
      <c r="C109">
        <v>8</v>
      </c>
      <c r="D109" s="13" t="str">
        <f>IFERROR(VLOOKUP(C109,[1]Sheet1!$A$1:$C$41,2,0),"Merchant Not Found")</f>
        <v>Merchant_008</v>
      </c>
      <c r="E109" s="7">
        <v>46025.427777777797</v>
      </c>
      <c r="F109">
        <v>299</v>
      </c>
      <c r="G109" s="8" t="s">
        <v>39</v>
      </c>
      <c r="H109" s="8" t="s">
        <v>40</v>
      </c>
      <c r="I109">
        <v>98</v>
      </c>
      <c r="J109" s="9">
        <f t="shared" si="2"/>
        <v>46025</v>
      </c>
      <c r="K109" s="10">
        <f>INDEX(Daily_Merchant_Pivot!$B$3:$AO$32,MATCH(J109,Daily_Merchant_Pivot!$A$3:$A$32,0),MATCH(C109,Daily_Merchant_Pivot!$B$2:$AO$2,0))</f>
        <v>299</v>
      </c>
      <c r="L109" s="3" t="str">
        <f>INDEX(Merchant_Region_Map!$D$3:$D$42,MATCH(C109,Merchant_Region_Map!$A$3:$A$42,0))</f>
        <v>North</v>
      </c>
      <c r="M109" s="11" t="str">
        <f t="shared" si="3"/>
        <v/>
      </c>
    </row>
    <row r="110" spans="1:13" x14ac:dyDescent="0.25">
      <c r="A110" t="s">
        <v>152</v>
      </c>
      <c r="B110">
        <v>1</v>
      </c>
      <c r="C110">
        <v>35</v>
      </c>
      <c r="D110" s="13" t="str">
        <f>IFERROR(VLOOKUP(C110,[1]Sheet1!$A$1:$C$41,2,0),"Merchant Not Found")</f>
        <v>Merchant_035</v>
      </c>
      <c r="E110" s="7">
        <v>46035.702777777798</v>
      </c>
      <c r="F110">
        <v>149</v>
      </c>
      <c r="G110" s="8" t="s">
        <v>39</v>
      </c>
      <c r="H110" s="8" t="s">
        <v>40</v>
      </c>
      <c r="I110">
        <v>59</v>
      </c>
      <c r="J110" s="9">
        <f t="shared" si="2"/>
        <v>46035</v>
      </c>
      <c r="K110" s="10">
        <f>INDEX(Daily_Merchant_Pivot!$B$3:$AO$32,MATCH(J110,Daily_Merchant_Pivot!$A$3:$A$32,0),MATCH(C110,Daily_Merchant_Pivot!$B$2:$AO$2,0))</f>
        <v>149</v>
      </c>
      <c r="L110" s="3" t="str">
        <f>INDEX(Merchant_Region_Map!$D$3:$D$42,MATCH(C110,Merchant_Region_Map!$A$3:$A$42,0))</f>
        <v>East</v>
      </c>
      <c r="M110" s="11" t="str">
        <f t="shared" si="3"/>
        <v/>
      </c>
    </row>
    <row r="111" spans="1:13" x14ac:dyDescent="0.25">
      <c r="A111" t="s">
        <v>153</v>
      </c>
      <c r="B111">
        <v>266</v>
      </c>
      <c r="C111">
        <v>24</v>
      </c>
      <c r="D111" s="13" t="str">
        <f>IFERROR(VLOOKUP(C111,[1]Sheet1!$A$1:$C$41,2,0),"Merchant Not Found")</f>
        <v>Merchant_024</v>
      </c>
      <c r="E111" s="7">
        <v>46036.05</v>
      </c>
      <c r="F111">
        <v>499</v>
      </c>
      <c r="G111" s="8" t="s">
        <v>39</v>
      </c>
      <c r="H111" s="8" t="s">
        <v>40</v>
      </c>
      <c r="I111">
        <v>79</v>
      </c>
      <c r="J111" s="9">
        <f t="shared" si="2"/>
        <v>46036</v>
      </c>
      <c r="K111" s="10">
        <f>INDEX(Daily_Merchant_Pivot!$B$3:$AO$32,MATCH(J111,Daily_Merchant_Pivot!$A$3:$A$32,0),MATCH(C111,Daily_Merchant_Pivot!$B$2:$AO$2,0))</f>
        <v>499</v>
      </c>
      <c r="L111" s="3" t="str">
        <f>INDEX(Merchant_Region_Map!$D$3:$D$42,MATCH(C111,Merchant_Region_Map!$A$3:$A$42,0))</f>
        <v>North</v>
      </c>
      <c r="M111" s="11" t="str">
        <f t="shared" si="3"/>
        <v/>
      </c>
    </row>
    <row r="112" spans="1:13" x14ac:dyDescent="0.25">
      <c r="A112" t="s">
        <v>154</v>
      </c>
      <c r="B112">
        <v>227</v>
      </c>
      <c r="C112">
        <v>4</v>
      </c>
      <c r="D112" s="13" t="str">
        <f>IFERROR(VLOOKUP(C112,[1]Sheet1!$A$1:$C$41,2,0),"Merchant Not Found")</f>
        <v>Merchant_004</v>
      </c>
      <c r="E112" s="7">
        <v>46047.652777777803</v>
      </c>
      <c r="F112">
        <v>499</v>
      </c>
      <c r="G112" s="8" t="s">
        <v>39</v>
      </c>
      <c r="H112" s="8" t="s">
        <v>40</v>
      </c>
      <c r="I112">
        <v>26</v>
      </c>
      <c r="J112" s="9">
        <f t="shared" si="2"/>
        <v>46047</v>
      </c>
      <c r="K112" s="10">
        <f>INDEX(Daily_Merchant_Pivot!$B$3:$AO$32,MATCH(J112,Daily_Merchant_Pivot!$A$3:$A$32,0),MATCH(C112,Daily_Merchant_Pivot!$B$2:$AO$2,0))</f>
        <v>1998</v>
      </c>
      <c r="L112" s="3" t="str">
        <f>INDEX(Merchant_Region_Map!$D$3:$D$42,MATCH(C112,Merchant_Region_Map!$A$3:$A$42,0))</f>
        <v>East</v>
      </c>
      <c r="M112" s="11" t="str">
        <f t="shared" si="3"/>
        <v/>
      </c>
    </row>
    <row r="113" spans="1:13" x14ac:dyDescent="0.25">
      <c r="A113" t="s">
        <v>155</v>
      </c>
      <c r="B113">
        <v>148</v>
      </c>
      <c r="C113">
        <v>29</v>
      </c>
      <c r="D113" s="13" t="str">
        <f>IFERROR(VLOOKUP(C113,[1]Sheet1!$A$1:$C$41,2,0),"Merchant Not Found")</f>
        <v>Merchant_029</v>
      </c>
      <c r="E113" s="7">
        <v>46031.713888888902</v>
      </c>
      <c r="F113">
        <v>499</v>
      </c>
      <c r="G113" s="8" t="s">
        <v>39</v>
      </c>
      <c r="H113" s="8" t="s">
        <v>40</v>
      </c>
      <c r="I113">
        <v>89</v>
      </c>
      <c r="J113" s="9">
        <f t="shared" si="2"/>
        <v>46031</v>
      </c>
      <c r="K113" s="10">
        <f>INDEX(Daily_Merchant_Pivot!$B$3:$AO$32,MATCH(J113,Daily_Merchant_Pivot!$A$3:$A$32,0),MATCH(C113,Daily_Merchant_Pivot!$B$2:$AO$2,0))</f>
        <v>499</v>
      </c>
      <c r="L113" s="3" t="str">
        <f>INDEX(Merchant_Region_Map!$D$3:$D$42,MATCH(C113,Merchant_Region_Map!$A$3:$A$42,0))</f>
        <v>North</v>
      </c>
      <c r="M113" s="11" t="str">
        <f t="shared" si="3"/>
        <v/>
      </c>
    </row>
    <row r="114" spans="1:13" x14ac:dyDescent="0.25">
      <c r="A114" t="s">
        <v>156</v>
      </c>
      <c r="B114">
        <v>323</v>
      </c>
      <c r="C114">
        <v>39</v>
      </c>
      <c r="D114" s="13" t="str">
        <f>IFERROR(VLOOKUP(C114,[1]Sheet1!$A$1:$C$41,2,0),"Merchant Not Found")</f>
        <v>Merchant_039</v>
      </c>
      <c r="E114" s="7">
        <v>46038.125694444498</v>
      </c>
      <c r="F114">
        <v>499</v>
      </c>
      <c r="G114" s="8" t="s">
        <v>39</v>
      </c>
      <c r="H114" s="8" t="s">
        <v>40</v>
      </c>
      <c r="I114">
        <v>30</v>
      </c>
      <c r="J114" s="9">
        <f t="shared" si="2"/>
        <v>46038</v>
      </c>
      <c r="K114" s="10">
        <f>INDEX(Daily_Merchant_Pivot!$B$3:$AO$32,MATCH(J114,Daily_Merchant_Pivot!$A$3:$A$32,0),MATCH(C114,Daily_Merchant_Pivot!$B$2:$AO$2,0))</f>
        <v>499</v>
      </c>
      <c r="L114" s="3" t="str">
        <f>INDEX(Merchant_Region_Map!$D$3:$D$42,MATCH(C114,Merchant_Region_Map!$A$3:$A$42,0))</f>
        <v>North</v>
      </c>
      <c r="M114" s="11" t="str">
        <f t="shared" si="3"/>
        <v/>
      </c>
    </row>
    <row r="115" spans="1:13" x14ac:dyDescent="0.25">
      <c r="A115" t="s">
        <v>157</v>
      </c>
      <c r="B115">
        <v>283</v>
      </c>
      <c r="C115">
        <v>1</v>
      </c>
      <c r="D115" s="13" t="str">
        <f>IFERROR(VLOOKUP(C115,[1]Sheet1!$A$1:$C$41,2,0),"Merchant Not Found")</f>
        <v>Merchant_001</v>
      </c>
      <c r="E115" s="7">
        <v>46045.221527777801</v>
      </c>
      <c r="F115">
        <v>2999</v>
      </c>
      <c r="G115" s="8" t="s">
        <v>42</v>
      </c>
      <c r="H115" s="8" t="s">
        <v>40</v>
      </c>
      <c r="I115">
        <v>70</v>
      </c>
      <c r="J115" s="9">
        <f t="shared" si="2"/>
        <v>46045</v>
      </c>
      <c r="K115" s="10">
        <f>INDEX(Daily_Merchant_Pivot!$B$3:$AO$32,MATCH(J115,Daily_Merchant_Pivot!$A$3:$A$32,0),MATCH(C115,Daily_Merchant_Pivot!$B$2:$AO$2,0))</f>
        <v>3148</v>
      </c>
      <c r="L115" s="3" t="str">
        <f>INDEX(Merchant_Region_Map!$D$3:$D$42,MATCH(C115,Merchant_Region_Map!$A$3:$A$42,0))</f>
        <v>South</v>
      </c>
      <c r="M115" s="11" t="str">
        <f t="shared" si="3"/>
        <v/>
      </c>
    </row>
    <row r="116" spans="1:13" x14ac:dyDescent="0.25">
      <c r="A116" t="s">
        <v>158</v>
      </c>
      <c r="B116">
        <v>59</v>
      </c>
      <c r="C116">
        <v>30</v>
      </c>
      <c r="D116" s="13" t="str">
        <f>IFERROR(VLOOKUP(C116,[1]Sheet1!$A$1:$C$41,2,0),"Merchant Not Found")</f>
        <v>Merchant_030</v>
      </c>
      <c r="E116" s="7">
        <v>46036.093055555597</v>
      </c>
      <c r="F116">
        <v>499</v>
      </c>
      <c r="G116" s="8" t="s">
        <v>39</v>
      </c>
      <c r="H116" s="8" t="s">
        <v>40</v>
      </c>
      <c r="I116">
        <v>15</v>
      </c>
      <c r="J116" s="9">
        <f t="shared" si="2"/>
        <v>46036</v>
      </c>
      <c r="K116" s="10">
        <f>INDEX(Daily_Merchant_Pivot!$B$3:$AO$32,MATCH(J116,Daily_Merchant_Pivot!$A$3:$A$32,0),MATCH(C116,Daily_Merchant_Pivot!$B$2:$AO$2,0))</f>
        <v>2497</v>
      </c>
      <c r="L116" s="3" t="str">
        <f>INDEX(Merchant_Region_Map!$D$3:$D$42,MATCH(C116,Merchant_Region_Map!$A$3:$A$42,0))</f>
        <v>West</v>
      </c>
      <c r="M116" s="11" t="str">
        <f t="shared" si="3"/>
        <v/>
      </c>
    </row>
    <row r="117" spans="1:13" x14ac:dyDescent="0.25">
      <c r="A117" t="s">
        <v>159</v>
      </c>
      <c r="B117">
        <v>150</v>
      </c>
      <c r="C117">
        <v>33</v>
      </c>
      <c r="D117" s="13" t="str">
        <f>IFERROR(VLOOKUP(C117,[1]Sheet1!$A$1:$C$41,2,0),"Merchant Not Found")</f>
        <v>Merchant_033</v>
      </c>
      <c r="E117" s="7">
        <v>46043.188194444498</v>
      </c>
      <c r="F117">
        <v>2999</v>
      </c>
      <c r="G117" s="8" t="s">
        <v>39</v>
      </c>
      <c r="H117" s="8" t="s">
        <v>40</v>
      </c>
      <c r="I117">
        <v>90</v>
      </c>
      <c r="J117" s="9">
        <f t="shared" si="2"/>
        <v>46043</v>
      </c>
      <c r="K117" s="10">
        <f>INDEX(Daily_Merchant_Pivot!$B$3:$AO$32,MATCH(J117,Daily_Merchant_Pivot!$A$3:$A$32,0),MATCH(C117,Daily_Merchant_Pivot!$B$2:$AO$2,0))</f>
        <v>3298</v>
      </c>
      <c r="L117" s="3" t="str">
        <f>INDEX(Merchant_Region_Map!$D$3:$D$42,MATCH(C117,Merchant_Region_Map!$A$3:$A$42,0))</f>
        <v>East</v>
      </c>
      <c r="M117" s="11" t="str">
        <f t="shared" si="3"/>
        <v/>
      </c>
    </row>
    <row r="118" spans="1:13" x14ac:dyDescent="0.25">
      <c r="A118" t="s">
        <v>160</v>
      </c>
      <c r="B118">
        <v>248</v>
      </c>
      <c r="C118">
        <v>31</v>
      </c>
      <c r="D118" s="13" t="str">
        <f>IFERROR(VLOOKUP(C118,[1]Sheet1!$A$1:$C$41,2,0),"Merchant Not Found")</f>
        <v>Merchant_031</v>
      </c>
      <c r="E118" s="7">
        <v>46031.578472222202</v>
      </c>
      <c r="F118">
        <v>1499</v>
      </c>
      <c r="G118" s="8" t="s">
        <v>39</v>
      </c>
      <c r="H118" s="8" t="s">
        <v>53</v>
      </c>
      <c r="I118">
        <v>31</v>
      </c>
      <c r="J118" s="9">
        <f t="shared" si="2"/>
        <v>46031</v>
      </c>
      <c r="K118" s="10">
        <f>INDEX(Daily_Merchant_Pivot!$B$3:$AO$32,MATCH(J118,Daily_Merchant_Pivot!$A$3:$A$32,0),MATCH(C118,Daily_Merchant_Pivot!$B$2:$AO$2,0))</f>
        <v>0</v>
      </c>
      <c r="L118" s="3" t="str">
        <f>INDEX(Merchant_Region_Map!$D$3:$D$42,MATCH(C118,Merchant_Region_Map!$A$3:$A$42,0))</f>
        <v>East</v>
      </c>
      <c r="M118" s="11" t="str">
        <f t="shared" si="3"/>
        <v/>
      </c>
    </row>
    <row r="119" spans="1:13" x14ac:dyDescent="0.25">
      <c r="A119" t="s">
        <v>161</v>
      </c>
      <c r="B119">
        <v>197</v>
      </c>
      <c r="C119">
        <v>13</v>
      </c>
      <c r="D119" s="13" t="str">
        <f>IFERROR(VLOOKUP(C119,[1]Sheet1!$A$1:$C$41,2,0),"Merchant Not Found")</f>
        <v>Merchant_013</v>
      </c>
      <c r="E119" s="7">
        <v>46037.714583333298</v>
      </c>
      <c r="F119">
        <v>49</v>
      </c>
      <c r="G119" s="8" t="s">
        <v>39</v>
      </c>
      <c r="H119" s="8" t="s">
        <v>40</v>
      </c>
      <c r="I119">
        <v>76</v>
      </c>
      <c r="J119" s="9">
        <f t="shared" si="2"/>
        <v>46037</v>
      </c>
      <c r="K119" s="10">
        <f>INDEX(Daily_Merchant_Pivot!$B$3:$AO$32,MATCH(J119,Daily_Merchant_Pivot!$A$3:$A$32,0),MATCH(C119,Daily_Merchant_Pivot!$B$2:$AO$2,0))</f>
        <v>49</v>
      </c>
      <c r="L119" s="3" t="str">
        <f>INDEX(Merchant_Region_Map!$D$3:$D$42,MATCH(C119,Merchant_Region_Map!$A$3:$A$42,0))</f>
        <v>East</v>
      </c>
      <c r="M119" s="11" t="str">
        <f t="shared" si="3"/>
        <v/>
      </c>
    </row>
    <row r="120" spans="1:13" x14ac:dyDescent="0.25">
      <c r="A120" t="s">
        <v>162</v>
      </c>
      <c r="B120">
        <v>70</v>
      </c>
      <c r="C120">
        <v>5</v>
      </c>
      <c r="D120" s="13" t="str">
        <f>IFERROR(VLOOKUP(C120,[1]Sheet1!$A$1:$C$41,2,0),"Merchant Not Found")</f>
        <v>Merchant_005</v>
      </c>
      <c r="E120" s="7">
        <v>46039.997222222199</v>
      </c>
      <c r="F120">
        <v>499</v>
      </c>
      <c r="G120" s="8" t="s">
        <v>39</v>
      </c>
      <c r="H120" s="8" t="s">
        <v>40</v>
      </c>
      <c r="I120">
        <v>35</v>
      </c>
      <c r="J120" s="9">
        <f t="shared" si="2"/>
        <v>46039</v>
      </c>
      <c r="K120" s="10">
        <f>INDEX(Daily_Merchant_Pivot!$B$3:$AO$32,MATCH(J120,Daily_Merchant_Pivot!$A$3:$A$32,0),MATCH(C120,Daily_Merchant_Pivot!$B$2:$AO$2,0))</f>
        <v>499</v>
      </c>
      <c r="L120" s="3" t="str">
        <f>INDEX(Merchant_Region_Map!$D$3:$D$42,MATCH(C120,Merchant_Region_Map!$A$3:$A$42,0))</f>
        <v>South</v>
      </c>
      <c r="M120" s="11" t="str">
        <f t="shared" si="3"/>
        <v/>
      </c>
    </row>
    <row r="121" spans="1:13" x14ac:dyDescent="0.25">
      <c r="A121" t="s">
        <v>163</v>
      </c>
      <c r="B121">
        <v>260</v>
      </c>
      <c r="C121">
        <v>18</v>
      </c>
      <c r="D121" s="13" t="str">
        <f>IFERROR(VLOOKUP(C121,[1]Sheet1!$A$1:$C$41,2,0),"Merchant Not Found")</f>
        <v>Merchant_018</v>
      </c>
      <c r="E121" s="7">
        <v>46047.556250000001</v>
      </c>
      <c r="F121">
        <v>1499</v>
      </c>
      <c r="G121" s="8" t="s">
        <v>39</v>
      </c>
      <c r="H121" s="8" t="s">
        <v>40</v>
      </c>
      <c r="I121">
        <v>0</v>
      </c>
      <c r="J121" s="9">
        <f t="shared" si="2"/>
        <v>46047</v>
      </c>
      <c r="K121" s="10">
        <f>INDEX(Daily_Merchant_Pivot!$B$3:$AO$32,MATCH(J121,Daily_Merchant_Pivot!$A$3:$A$32,0),MATCH(C121,Daily_Merchant_Pivot!$B$2:$AO$2,0))</f>
        <v>6647</v>
      </c>
      <c r="L121" s="3" t="str">
        <f>INDEX(Merchant_Region_Map!$D$3:$D$42,MATCH(C121,Merchant_Region_Map!$A$3:$A$42,0))</f>
        <v>West</v>
      </c>
      <c r="M121" s="11" t="str">
        <f t="shared" si="3"/>
        <v>High-Value Merchant Day</v>
      </c>
    </row>
    <row r="122" spans="1:13" x14ac:dyDescent="0.25">
      <c r="A122" t="s">
        <v>164</v>
      </c>
      <c r="B122">
        <v>301</v>
      </c>
      <c r="C122">
        <v>38</v>
      </c>
      <c r="D122" s="13" t="str">
        <f>IFERROR(VLOOKUP(C122,[1]Sheet1!$A$1:$C$41,2,0),"Merchant Not Found")</f>
        <v>Merchant_038</v>
      </c>
      <c r="E122" s="7">
        <v>46032.971527777801</v>
      </c>
      <c r="F122">
        <v>99</v>
      </c>
      <c r="G122" s="8" t="s">
        <v>39</v>
      </c>
      <c r="H122" s="8" t="s">
        <v>40</v>
      </c>
      <c r="I122">
        <v>84</v>
      </c>
      <c r="J122" s="9">
        <f t="shared" si="2"/>
        <v>46032</v>
      </c>
      <c r="K122" s="10">
        <f>INDEX(Daily_Merchant_Pivot!$B$3:$AO$32,MATCH(J122,Daily_Merchant_Pivot!$A$3:$A$32,0),MATCH(C122,Daily_Merchant_Pivot!$B$2:$AO$2,0))</f>
        <v>398</v>
      </c>
      <c r="L122" s="3" t="str">
        <f>INDEX(Merchant_Region_Map!$D$3:$D$42,MATCH(C122,Merchant_Region_Map!$A$3:$A$42,0))</f>
        <v>East</v>
      </c>
      <c r="M122" s="11" t="str">
        <f t="shared" si="3"/>
        <v/>
      </c>
    </row>
    <row r="123" spans="1:13" x14ac:dyDescent="0.25">
      <c r="A123" t="s">
        <v>165</v>
      </c>
      <c r="B123">
        <v>276</v>
      </c>
      <c r="C123">
        <v>31</v>
      </c>
      <c r="D123" s="13" t="str">
        <f>IFERROR(VLOOKUP(C123,[1]Sheet1!$A$1:$C$41,2,0),"Merchant Not Found")</f>
        <v>Merchant_031</v>
      </c>
      <c r="E123" s="7">
        <v>46038.186111111099</v>
      </c>
      <c r="F123">
        <v>499</v>
      </c>
      <c r="G123" s="8" t="s">
        <v>52</v>
      </c>
      <c r="H123" s="8" t="s">
        <v>40</v>
      </c>
      <c r="I123">
        <v>44</v>
      </c>
      <c r="J123" s="9">
        <f t="shared" si="2"/>
        <v>46038</v>
      </c>
      <c r="K123" s="10">
        <f>INDEX(Daily_Merchant_Pivot!$B$3:$AO$32,MATCH(J123,Daily_Merchant_Pivot!$A$3:$A$32,0),MATCH(C123,Daily_Merchant_Pivot!$B$2:$AO$2,0))</f>
        <v>499</v>
      </c>
      <c r="L123" s="3" t="str">
        <f>INDEX(Merchant_Region_Map!$D$3:$D$42,MATCH(C123,Merchant_Region_Map!$A$3:$A$42,0))</f>
        <v>East</v>
      </c>
      <c r="M123" s="11" t="str">
        <f t="shared" si="3"/>
        <v/>
      </c>
    </row>
    <row r="124" spans="1:13" x14ac:dyDescent="0.25">
      <c r="A124" t="s">
        <v>166</v>
      </c>
      <c r="B124">
        <v>279</v>
      </c>
      <c r="C124">
        <v>25</v>
      </c>
      <c r="D124" s="13" t="str">
        <f>IFERROR(VLOOKUP(C124,[1]Sheet1!$A$1:$C$41,2,0),"Merchant Not Found")</f>
        <v>Merchant_025</v>
      </c>
      <c r="E124" s="7">
        <v>46033.741666666698</v>
      </c>
      <c r="F124">
        <v>799</v>
      </c>
      <c r="G124" s="8" t="s">
        <v>39</v>
      </c>
      <c r="H124" s="8" t="s">
        <v>40</v>
      </c>
      <c r="I124">
        <v>58</v>
      </c>
      <c r="J124" s="9">
        <f t="shared" si="2"/>
        <v>46033</v>
      </c>
      <c r="K124" s="10">
        <f>INDEX(Daily_Merchant_Pivot!$B$3:$AO$32,MATCH(J124,Daily_Merchant_Pivot!$A$3:$A$32,0),MATCH(C124,Daily_Merchant_Pivot!$B$2:$AO$2,0))</f>
        <v>799</v>
      </c>
      <c r="L124" s="3" t="str">
        <f>INDEX(Merchant_Region_Map!$D$3:$D$42,MATCH(C124,Merchant_Region_Map!$A$3:$A$42,0))</f>
        <v>South</v>
      </c>
      <c r="M124" s="11" t="str">
        <f t="shared" si="3"/>
        <v/>
      </c>
    </row>
    <row r="125" spans="1:13" x14ac:dyDescent="0.25">
      <c r="A125" t="s">
        <v>167</v>
      </c>
      <c r="B125">
        <v>97</v>
      </c>
      <c r="C125">
        <v>16</v>
      </c>
      <c r="D125" s="13" t="str">
        <f>IFERROR(VLOOKUP(C125,[1]Sheet1!$A$1:$C$41,2,0),"Merchant Not Found")</f>
        <v>Merchant_016</v>
      </c>
      <c r="E125" s="7">
        <v>46052.454861111102</v>
      </c>
      <c r="F125">
        <v>799</v>
      </c>
      <c r="G125" s="8" t="s">
        <v>52</v>
      </c>
      <c r="H125" s="8" t="s">
        <v>40</v>
      </c>
      <c r="I125">
        <v>73</v>
      </c>
      <c r="J125" s="9">
        <f t="shared" si="2"/>
        <v>46052</v>
      </c>
      <c r="K125" s="10">
        <f>INDEX(Daily_Merchant_Pivot!$B$3:$AO$32,MATCH(J125,Daily_Merchant_Pivot!$A$3:$A$32,0),MATCH(C125,Daily_Merchant_Pivot!$B$2:$AO$2,0))</f>
        <v>898</v>
      </c>
      <c r="L125" s="3" t="str">
        <f>INDEX(Merchant_Region_Map!$D$3:$D$42,MATCH(C125,Merchant_Region_Map!$A$3:$A$42,0))</f>
        <v>West</v>
      </c>
      <c r="M125" s="11" t="str">
        <f t="shared" si="3"/>
        <v/>
      </c>
    </row>
    <row r="126" spans="1:13" x14ac:dyDescent="0.25">
      <c r="A126" t="s">
        <v>168</v>
      </c>
      <c r="B126">
        <v>196</v>
      </c>
      <c r="C126">
        <v>25</v>
      </c>
      <c r="D126" s="13" t="str">
        <f>IFERROR(VLOOKUP(C126,[1]Sheet1!$A$1:$C$41,2,0),"Merchant Not Found")</f>
        <v>Merchant_025</v>
      </c>
      <c r="E126" s="7">
        <v>46046.65625</v>
      </c>
      <c r="F126">
        <v>149</v>
      </c>
      <c r="G126" s="8" t="s">
        <v>44</v>
      </c>
      <c r="H126" s="8" t="s">
        <v>40</v>
      </c>
      <c r="I126">
        <v>84</v>
      </c>
      <c r="J126" s="9">
        <f t="shared" si="2"/>
        <v>46046</v>
      </c>
      <c r="K126" s="10">
        <f>INDEX(Daily_Merchant_Pivot!$B$3:$AO$32,MATCH(J126,Daily_Merchant_Pivot!$A$3:$A$32,0),MATCH(C126,Daily_Merchant_Pivot!$B$2:$AO$2,0))</f>
        <v>497</v>
      </c>
      <c r="L126" s="3" t="str">
        <f>INDEX(Merchant_Region_Map!$D$3:$D$42,MATCH(C126,Merchant_Region_Map!$A$3:$A$42,0))</f>
        <v>South</v>
      </c>
      <c r="M126" s="11" t="str">
        <f t="shared" si="3"/>
        <v/>
      </c>
    </row>
    <row r="127" spans="1:13" x14ac:dyDescent="0.25">
      <c r="A127" t="s">
        <v>169</v>
      </c>
      <c r="B127">
        <v>254</v>
      </c>
      <c r="C127">
        <v>3</v>
      </c>
      <c r="D127" s="13" t="str">
        <f>IFERROR(VLOOKUP(C127,[1]Sheet1!$A$1:$C$41,2,0),"Merchant Not Found")</f>
        <v>Merchant_003</v>
      </c>
      <c r="E127" s="7">
        <v>46048.839583333298</v>
      </c>
      <c r="F127">
        <v>149</v>
      </c>
      <c r="G127" s="8" t="s">
        <v>52</v>
      </c>
      <c r="H127" s="8" t="s">
        <v>40</v>
      </c>
      <c r="I127">
        <v>16</v>
      </c>
      <c r="J127" s="9">
        <f t="shared" si="2"/>
        <v>46048</v>
      </c>
      <c r="K127" s="10">
        <f>INDEX(Daily_Merchant_Pivot!$B$3:$AO$32,MATCH(J127,Daily_Merchant_Pivot!$A$3:$A$32,0),MATCH(C127,Daily_Merchant_Pivot!$B$2:$AO$2,0))</f>
        <v>149</v>
      </c>
      <c r="L127" s="3" t="str">
        <f>INDEX(Merchant_Region_Map!$D$3:$D$42,MATCH(C127,Merchant_Region_Map!$A$3:$A$42,0))</f>
        <v>East</v>
      </c>
      <c r="M127" s="11" t="str">
        <f t="shared" si="3"/>
        <v/>
      </c>
    </row>
    <row r="128" spans="1:13" x14ac:dyDescent="0.25">
      <c r="A128" t="s">
        <v>170</v>
      </c>
      <c r="B128">
        <v>52</v>
      </c>
      <c r="C128">
        <v>29</v>
      </c>
      <c r="D128" s="13" t="str">
        <f>IFERROR(VLOOKUP(C128,[1]Sheet1!$A$1:$C$41,2,0),"Merchant Not Found")</f>
        <v>Merchant_029</v>
      </c>
      <c r="E128" s="7">
        <v>46039.764583333301</v>
      </c>
      <c r="F128">
        <v>49</v>
      </c>
      <c r="G128" s="8" t="s">
        <v>44</v>
      </c>
      <c r="H128" s="8" t="s">
        <v>40</v>
      </c>
      <c r="I128">
        <v>12</v>
      </c>
      <c r="J128" s="9">
        <f t="shared" si="2"/>
        <v>46039</v>
      </c>
      <c r="K128" s="10">
        <f>INDEX(Daily_Merchant_Pivot!$B$3:$AO$32,MATCH(J128,Daily_Merchant_Pivot!$A$3:$A$32,0),MATCH(C128,Daily_Merchant_Pivot!$B$2:$AO$2,0))</f>
        <v>49</v>
      </c>
      <c r="L128" s="3" t="str">
        <f>INDEX(Merchant_Region_Map!$D$3:$D$42,MATCH(C128,Merchant_Region_Map!$A$3:$A$42,0))</f>
        <v>North</v>
      </c>
      <c r="M128" s="11" t="str">
        <f t="shared" si="3"/>
        <v/>
      </c>
    </row>
    <row r="129" spans="1:13" x14ac:dyDescent="0.25">
      <c r="A129" t="s">
        <v>171</v>
      </c>
      <c r="B129">
        <v>136</v>
      </c>
      <c r="C129">
        <v>22</v>
      </c>
      <c r="D129" s="13" t="str">
        <f>IFERROR(VLOOKUP(C129,[1]Sheet1!$A$1:$C$41,2,0),"Merchant Not Found")</f>
        <v>Merchant_022</v>
      </c>
      <c r="E129" s="7">
        <v>46027.104166666701</v>
      </c>
      <c r="F129">
        <v>149</v>
      </c>
      <c r="G129" s="8" t="s">
        <v>39</v>
      </c>
      <c r="H129" s="8" t="s">
        <v>40</v>
      </c>
      <c r="I129">
        <v>79</v>
      </c>
      <c r="J129" s="9">
        <f t="shared" si="2"/>
        <v>46027</v>
      </c>
      <c r="K129" s="10">
        <f>INDEX(Daily_Merchant_Pivot!$B$3:$AO$32,MATCH(J129,Daily_Merchant_Pivot!$A$3:$A$32,0),MATCH(C129,Daily_Merchant_Pivot!$B$2:$AO$2,0))</f>
        <v>448</v>
      </c>
      <c r="L129" s="3" t="str">
        <f>INDEX(Merchant_Region_Map!$D$3:$D$42,MATCH(C129,Merchant_Region_Map!$A$3:$A$42,0))</f>
        <v>South</v>
      </c>
      <c r="M129" s="11" t="str">
        <f t="shared" si="3"/>
        <v/>
      </c>
    </row>
    <row r="130" spans="1:13" x14ac:dyDescent="0.25">
      <c r="A130" t="s">
        <v>172</v>
      </c>
      <c r="B130">
        <v>42</v>
      </c>
      <c r="C130">
        <v>22</v>
      </c>
      <c r="D130" s="13" t="str">
        <f>IFERROR(VLOOKUP(C130,[1]Sheet1!$A$1:$C$41,2,0),"Merchant Not Found")</f>
        <v>Merchant_022</v>
      </c>
      <c r="E130" s="7">
        <v>46045.528472222199</v>
      </c>
      <c r="F130">
        <v>49</v>
      </c>
      <c r="G130" s="8" t="s">
        <v>39</v>
      </c>
      <c r="H130" s="8" t="s">
        <v>40</v>
      </c>
      <c r="I130">
        <v>86</v>
      </c>
      <c r="J130" s="9">
        <f t="shared" si="2"/>
        <v>46045</v>
      </c>
      <c r="K130" s="10">
        <f>INDEX(Daily_Merchant_Pivot!$B$3:$AO$32,MATCH(J130,Daily_Merchant_Pivot!$A$3:$A$32,0),MATCH(C130,Daily_Merchant_Pivot!$B$2:$AO$2,0))</f>
        <v>49</v>
      </c>
      <c r="L130" s="3" t="str">
        <f>INDEX(Merchant_Region_Map!$D$3:$D$42,MATCH(C130,Merchant_Region_Map!$A$3:$A$42,0))</f>
        <v>South</v>
      </c>
      <c r="M130" s="11" t="str">
        <f t="shared" si="3"/>
        <v/>
      </c>
    </row>
    <row r="131" spans="1:13" x14ac:dyDescent="0.25">
      <c r="A131" t="s">
        <v>173</v>
      </c>
      <c r="B131">
        <v>163</v>
      </c>
      <c r="C131">
        <v>32</v>
      </c>
      <c r="D131" s="13" t="str">
        <f>IFERROR(VLOOKUP(C131,[1]Sheet1!$A$1:$C$41,2,0),"Merchant Not Found")</f>
        <v>Merchant_032</v>
      </c>
      <c r="E131" s="7">
        <v>46050.724999999999</v>
      </c>
      <c r="F131">
        <v>2999</v>
      </c>
      <c r="G131" s="8" t="s">
        <v>42</v>
      </c>
      <c r="H131" s="8" t="s">
        <v>53</v>
      </c>
      <c r="I131">
        <v>69</v>
      </c>
      <c r="J131" s="9">
        <f t="shared" ref="J131:J194" si="4">INT(E131)</f>
        <v>46050</v>
      </c>
      <c r="K131" s="10">
        <f>INDEX(Daily_Merchant_Pivot!$B$3:$AO$32,MATCH(J131,Daily_Merchant_Pivot!$A$3:$A$32,0),MATCH(C131,Daily_Merchant_Pivot!$B$2:$AO$2,0))</f>
        <v>0</v>
      </c>
      <c r="L131" s="3" t="str">
        <f>INDEX(Merchant_Region_Map!$D$3:$D$42,MATCH(C131,Merchant_Region_Map!$A$3:$A$42,0))</f>
        <v>West</v>
      </c>
      <c r="M131" s="11" t="str">
        <f t="shared" ref="M131:M194" si="5">IF(AND(K131&gt;5000,L131&lt;&gt;"East"),"High-Value Merchant Day","")</f>
        <v/>
      </c>
    </row>
    <row r="132" spans="1:13" x14ac:dyDescent="0.25">
      <c r="A132" t="s">
        <v>174</v>
      </c>
      <c r="B132">
        <v>121</v>
      </c>
      <c r="C132">
        <v>19</v>
      </c>
      <c r="D132" s="13" t="str">
        <f>IFERROR(VLOOKUP(C132,[1]Sheet1!$A$1:$C$41,2,0),"Merchant Not Found")</f>
        <v>Merchant_019</v>
      </c>
      <c r="E132" s="7">
        <v>46024.7944444444</v>
      </c>
      <c r="F132">
        <v>149</v>
      </c>
      <c r="G132" s="8" t="s">
        <v>39</v>
      </c>
      <c r="H132" s="8" t="s">
        <v>40</v>
      </c>
      <c r="I132">
        <v>29</v>
      </c>
      <c r="J132" s="9">
        <f t="shared" si="4"/>
        <v>46024</v>
      </c>
      <c r="K132" s="10">
        <f>INDEX(Daily_Merchant_Pivot!$B$3:$AO$32,MATCH(J132,Daily_Merchant_Pivot!$A$3:$A$32,0),MATCH(C132,Daily_Merchant_Pivot!$B$2:$AO$2,0))</f>
        <v>149</v>
      </c>
      <c r="L132" s="3" t="str">
        <f>INDEX(Merchant_Region_Map!$D$3:$D$42,MATCH(C132,Merchant_Region_Map!$A$3:$A$42,0))</f>
        <v>North</v>
      </c>
      <c r="M132" s="11" t="str">
        <f t="shared" si="5"/>
        <v/>
      </c>
    </row>
    <row r="133" spans="1:13" x14ac:dyDescent="0.25">
      <c r="A133" t="s">
        <v>175</v>
      </c>
      <c r="B133">
        <v>51</v>
      </c>
      <c r="C133">
        <v>7</v>
      </c>
      <c r="D133" s="13" t="str">
        <f>IFERROR(VLOOKUP(C133,[1]Sheet1!$A$1:$C$41,2,0),"Merchant Not Found")</f>
        <v>Merchant_007</v>
      </c>
      <c r="E133" s="7">
        <v>46046.102083333302</v>
      </c>
      <c r="F133">
        <v>499</v>
      </c>
      <c r="G133" s="8" t="s">
        <v>52</v>
      </c>
      <c r="H133" s="8" t="s">
        <v>40</v>
      </c>
      <c r="I133">
        <v>56</v>
      </c>
      <c r="J133" s="9">
        <f t="shared" si="4"/>
        <v>46046</v>
      </c>
      <c r="K133" s="10">
        <f>INDEX(Daily_Merchant_Pivot!$B$3:$AO$32,MATCH(J133,Daily_Merchant_Pivot!$A$3:$A$32,0),MATCH(C133,Daily_Merchant_Pivot!$B$2:$AO$2,0))</f>
        <v>1298</v>
      </c>
      <c r="L133" s="3" t="str">
        <f>INDEX(Merchant_Region_Map!$D$3:$D$42,MATCH(C133,Merchant_Region_Map!$A$3:$A$42,0))</f>
        <v>East</v>
      </c>
      <c r="M133" s="11" t="str">
        <f t="shared" si="5"/>
        <v/>
      </c>
    </row>
    <row r="134" spans="1:13" x14ac:dyDescent="0.25">
      <c r="A134" t="s">
        <v>176</v>
      </c>
      <c r="B134">
        <v>15</v>
      </c>
      <c r="C134">
        <v>3</v>
      </c>
      <c r="D134" s="13" t="str">
        <f>IFERROR(VLOOKUP(C134,[1]Sheet1!$A$1:$C$41,2,0),"Merchant Not Found")</f>
        <v>Merchant_003</v>
      </c>
      <c r="E134" s="7">
        <v>46028.929861111101</v>
      </c>
      <c r="F134">
        <v>799</v>
      </c>
      <c r="G134" s="8" t="s">
        <v>39</v>
      </c>
      <c r="H134" s="8" t="s">
        <v>40</v>
      </c>
      <c r="I134">
        <v>41</v>
      </c>
      <c r="J134" s="9">
        <f t="shared" si="4"/>
        <v>46028</v>
      </c>
      <c r="K134" s="10">
        <f>INDEX(Daily_Merchant_Pivot!$B$3:$AO$32,MATCH(J134,Daily_Merchant_Pivot!$A$3:$A$32,0),MATCH(C134,Daily_Merchant_Pivot!$B$2:$AO$2,0))</f>
        <v>799</v>
      </c>
      <c r="L134" s="3" t="str">
        <f>INDEX(Merchant_Region_Map!$D$3:$D$42,MATCH(C134,Merchant_Region_Map!$A$3:$A$42,0))</f>
        <v>East</v>
      </c>
      <c r="M134" s="11" t="str">
        <f t="shared" si="5"/>
        <v/>
      </c>
    </row>
    <row r="135" spans="1:13" x14ac:dyDescent="0.25">
      <c r="A135" t="s">
        <v>177</v>
      </c>
      <c r="B135">
        <v>184</v>
      </c>
      <c r="C135">
        <v>24</v>
      </c>
      <c r="D135" s="13" t="str">
        <f>IFERROR(VLOOKUP(C135,[1]Sheet1!$A$1:$C$41,2,0),"Merchant Not Found")</f>
        <v>Merchant_024</v>
      </c>
      <c r="E135" s="7">
        <v>46048.054166666698</v>
      </c>
      <c r="F135">
        <v>49</v>
      </c>
      <c r="G135" s="8" t="s">
        <v>39</v>
      </c>
      <c r="H135" s="8" t="s">
        <v>40</v>
      </c>
      <c r="I135">
        <v>55</v>
      </c>
      <c r="J135" s="9">
        <f t="shared" si="4"/>
        <v>46048</v>
      </c>
      <c r="K135" s="10">
        <f>INDEX(Daily_Merchant_Pivot!$B$3:$AO$32,MATCH(J135,Daily_Merchant_Pivot!$A$3:$A$32,0),MATCH(C135,Daily_Merchant_Pivot!$B$2:$AO$2,0))</f>
        <v>348</v>
      </c>
      <c r="L135" s="3" t="str">
        <f>INDEX(Merchant_Region_Map!$D$3:$D$42,MATCH(C135,Merchant_Region_Map!$A$3:$A$42,0))</f>
        <v>North</v>
      </c>
      <c r="M135" s="11" t="str">
        <f t="shared" si="5"/>
        <v/>
      </c>
    </row>
    <row r="136" spans="1:13" x14ac:dyDescent="0.25">
      <c r="A136" t="s">
        <v>178</v>
      </c>
      <c r="B136">
        <v>211</v>
      </c>
      <c r="C136">
        <v>37</v>
      </c>
      <c r="D136" s="13" t="str">
        <f>IFERROR(VLOOKUP(C136,[1]Sheet1!$A$1:$C$41,2,0),"Merchant Not Found")</f>
        <v>Merchant_037</v>
      </c>
      <c r="E136" s="7">
        <v>46027.314583333296</v>
      </c>
      <c r="F136">
        <v>1499</v>
      </c>
      <c r="G136" s="8" t="s">
        <v>39</v>
      </c>
      <c r="H136" s="8" t="s">
        <v>40</v>
      </c>
      <c r="I136">
        <v>87</v>
      </c>
      <c r="J136" s="9">
        <f t="shared" si="4"/>
        <v>46027</v>
      </c>
      <c r="K136" s="10">
        <f>INDEX(Daily_Merchant_Pivot!$B$3:$AO$32,MATCH(J136,Daily_Merchant_Pivot!$A$3:$A$32,0),MATCH(C136,Daily_Merchant_Pivot!$B$2:$AO$2,0))</f>
        <v>1499</v>
      </c>
      <c r="L136" s="3" t="str">
        <f>INDEX(Merchant_Region_Map!$D$3:$D$42,MATCH(C136,Merchant_Region_Map!$A$3:$A$42,0))</f>
        <v>South</v>
      </c>
      <c r="M136" s="11" t="str">
        <f t="shared" si="5"/>
        <v/>
      </c>
    </row>
    <row r="137" spans="1:13" x14ac:dyDescent="0.25">
      <c r="A137" t="s">
        <v>179</v>
      </c>
      <c r="B137">
        <v>90</v>
      </c>
      <c r="C137">
        <v>6</v>
      </c>
      <c r="D137" s="13" t="str">
        <f>IFERROR(VLOOKUP(C137,[1]Sheet1!$A$1:$C$41,2,0),"Merchant Not Found")</f>
        <v>Merchant_006</v>
      </c>
      <c r="E137" s="7">
        <v>46048.215277777803</v>
      </c>
      <c r="F137">
        <v>49</v>
      </c>
      <c r="G137" s="8" t="s">
        <v>52</v>
      </c>
      <c r="H137" s="8" t="s">
        <v>40</v>
      </c>
      <c r="I137">
        <v>78</v>
      </c>
      <c r="J137" s="9">
        <f t="shared" si="4"/>
        <v>46048</v>
      </c>
      <c r="K137" s="10">
        <f>INDEX(Daily_Merchant_Pivot!$B$3:$AO$32,MATCH(J137,Daily_Merchant_Pivot!$A$3:$A$32,0),MATCH(C137,Daily_Merchant_Pivot!$B$2:$AO$2,0))</f>
        <v>49</v>
      </c>
      <c r="L137" s="3" t="str">
        <f>INDEX(Merchant_Region_Map!$D$3:$D$42,MATCH(C137,Merchant_Region_Map!$A$3:$A$42,0))</f>
        <v>South</v>
      </c>
      <c r="M137" s="11" t="str">
        <f t="shared" si="5"/>
        <v/>
      </c>
    </row>
    <row r="138" spans="1:13" x14ac:dyDescent="0.25">
      <c r="A138" t="s">
        <v>180</v>
      </c>
      <c r="B138">
        <v>350</v>
      </c>
      <c r="C138">
        <v>16</v>
      </c>
      <c r="D138" s="13" t="str">
        <f>IFERROR(VLOOKUP(C138,[1]Sheet1!$A$1:$C$41,2,0),"Merchant Not Found")</f>
        <v>Merchant_016</v>
      </c>
      <c r="E138" s="7">
        <v>46050.527083333298</v>
      </c>
      <c r="F138">
        <v>49</v>
      </c>
      <c r="G138" s="8" t="s">
        <v>39</v>
      </c>
      <c r="H138" s="8" t="s">
        <v>40</v>
      </c>
      <c r="I138">
        <v>63</v>
      </c>
      <c r="J138" s="9">
        <f t="shared" si="4"/>
        <v>46050</v>
      </c>
      <c r="K138" s="10">
        <f>INDEX(Daily_Merchant_Pivot!$B$3:$AO$32,MATCH(J138,Daily_Merchant_Pivot!$A$3:$A$32,0),MATCH(C138,Daily_Merchant_Pivot!$B$2:$AO$2,0))</f>
        <v>49</v>
      </c>
      <c r="L138" s="3" t="str">
        <f>INDEX(Merchant_Region_Map!$D$3:$D$42,MATCH(C138,Merchant_Region_Map!$A$3:$A$42,0))</f>
        <v>West</v>
      </c>
      <c r="M138" s="11" t="str">
        <f t="shared" si="5"/>
        <v/>
      </c>
    </row>
    <row r="139" spans="1:13" x14ac:dyDescent="0.25">
      <c r="A139" t="s">
        <v>181</v>
      </c>
      <c r="B139">
        <v>119</v>
      </c>
      <c r="C139">
        <v>30</v>
      </c>
      <c r="D139" s="13" t="str">
        <f>IFERROR(VLOOKUP(C139,[1]Sheet1!$A$1:$C$41,2,0),"Merchant Not Found")</f>
        <v>Merchant_030</v>
      </c>
      <c r="E139" s="7">
        <v>46052.756249999999</v>
      </c>
      <c r="F139">
        <v>49</v>
      </c>
      <c r="G139" s="8" t="s">
        <v>52</v>
      </c>
      <c r="H139" s="8" t="s">
        <v>40</v>
      </c>
      <c r="I139">
        <v>81</v>
      </c>
      <c r="J139" s="9">
        <f t="shared" si="4"/>
        <v>46052</v>
      </c>
      <c r="K139" s="10">
        <f>INDEX(Daily_Merchant_Pivot!$B$3:$AO$32,MATCH(J139,Daily_Merchant_Pivot!$A$3:$A$32,0),MATCH(C139,Daily_Merchant_Pivot!$B$2:$AO$2,0))</f>
        <v>49</v>
      </c>
      <c r="L139" s="3" t="str">
        <f>INDEX(Merchant_Region_Map!$D$3:$D$42,MATCH(C139,Merchant_Region_Map!$A$3:$A$42,0))</f>
        <v>West</v>
      </c>
      <c r="M139" s="11" t="str">
        <f t="shared" si="5"/>
        <v/>
      </c>
    </row>
    <row r="140" spans="1:13" x14ac:dyDescent="0.25">
      <c r="A140" t="s">
        <v>182</v>
      </c>
      <c r="B140">
        <v>342</v>
      </c>
      <c r="C140">
        <v>1</v>
      </c>
      <c r="D140" s="13" t="str">
        <f>IFERROR(VLOOKUP(C140,[1]Sheet1!$A$1:$C$41,2,0),"Merchant Not Found")</f>
        <v>Merchant_001</v>
      </c>
      <c r="E140" s="7">
        <v>46031.594444444498</v>
      </c>
      <c r="F140">
        <v>49</v>
      </c>
      <c r="G140" s="8" t="s">
        <v>39</v>
      </c>
      <c r="H140" s="8" t="s">
        <v>40</v>
      </c>
      <c r="I140">
        <v>59</v>
      </c>
      <c r="J140" s="9">
        <f t="shared" si="4"/>
        <v>46031</v>
      </c>
      <c r="K140" s="10">
        <f>INDEX(Daily_Merchant_Pivot!$B$3:$AO$32,MATCH(J140,Daily_Merchant_Pivot!$A$3:$A$32,0),MATCH(C140,Daily_Merchant_Pivot!$B$2:$AO$2,0))</f>
        <v>5048</v>
      </c>
      <c r="L140" s="3" t="str">
        <f>INDEX(Merchant_Region_Map!$D$3:$D$42,MATCH(C140,Merchant_Region_Map!$A$3:$A$42,0))</f>
        <v>South</v>
      </c>
      <c r="M140" s="11" t="str">
        <f t="shared" si="5"/>
        <v>High-Value Merchant Day</v>
      </c>
    </row>
    <row r="141" spans="1:13" x14ac:dyDescent="0.25">
      <c r="A141" t="s">
        <v>183</v>
      </c>
      <c r="B141">
        <v>280</v>
      </c>
      <c r="C141">
        <v>11</v>
      </c>
      <c r="D141" s="13" t="str">
        <f>IFERROR(VLOOKUP(C141,[1]Sheet1!$A$1:$C$41,2,0),"Merchant Not Found")</f>
        <v>Merchant_011</v>
      </c>
      <c r="E141" s="7">
        <v>46051.404861111099</v>
      </c>
      <c r="F141">
        <v>149</v>
      </c>
      <c r="G141" s="8" t="s">
        <v>39</v>
      </c>
      <c r="H141" s="8" t="s">
        <v>66</v>
      </c>
      <c r="I141">
        <v>9</v>
      </c>
      <c r="J141" s="9">
        <f t="shared" si="4"/>
        <v>46051</v>
      </c>
      <c r="K141" s="10">
        <f>INDEX(Daily_Merchant_Pivot!$B$3:$AO$32,MATCH(J141,Daily_Merchant_Pivot!$A$3:$A$32,0),MATCH(C141,Daily_Merchant_Pivot!$B$2:$AO$2,0))</f>
        <v>0</v>
      </c>
      <c r="L141" s="3" t="str">
        <f>INDEX(Merchant_Region_Map!$D$3:$D$42,MATCH(C141,Merchant_Region_Map!$A$3:$A$42,0))</f>
        <v>North</v>
      </c>
      <c r="M141" s="11" t="str">
        <f t="shared" si="5"/>
        <v/>
      </c>
    </row>
    <row r="142" spans="1:13" x14ac:dyDescent="0.25">
      <c r="A142" t="s">
        <v>184</v>
      </c>
      <c r="B142">
        <v>154</v>
      </c>
      <c r="C142">
        <v>28</v>
      </c>
      <c r="D142" s="13" t="str">
        <f>IFERROR(VLOOKUP(C142,[1]Sheet1!$A$1:$C$41,2,0),"Merchant Not Found")</f>
        <v>Merchant_028</v>
      </c>
      <c r="E142" s="7">
        <v>46037.484027777798</v>
      </c>
      <c r="F142">
        <v>2999</v>
      </c>
      <c r="G142" s="8" t="s">
        <v>44</v>
      </c>
      <c r="H142" s="8" t="s">
        <v>40</v>
      </c>
      <c r="I142">
        <v>88</v>
      </c>
      <c r="J142" s="9">
        <f t="shared" si="4"/>
        <v>46037</v>
      </c>
      <c r="K142" s="10">
        <f>INDEX(Daily_Merchant_Pivot!$B$3:$AO$32,MATCH(J142,Daily_Merchant_Pivot!$A$3:$A$32,0),MATCH(C142,Daily_Merchant_Pivot!$B$2:$AO$2,0))</f>
        <v>2999</v>
      </c>
      <c r="L142" s="3" t="str">
        <f>INDEX(Merchant_Region_Map!$D$3:$D$42,MATCH(C142,Merchant_Region_Map!$A$3:$A$42,0))</f>
        <v>South</v>
      </c>
      <c r="M142" s="11" t="str">
        <f t="shared" si="5"/>
        <v/>
      </c>
    </row>
    <row r="143" spans="1:13" x14ac:dyDescent="0.25">
      <c r="A143" t="s">
        <v>185</v>
      </c>
      <c r="B143">
        <v>155</v>
      </c>
      <c r="C143">
        <v>13</v>
      </c>
      <c r="D143" s="13" t="str">
        <f>IFERROR(VLOOKUP(C143,[1]Sheet1!$A$1:$C$41,2,0),"Merchant Not Found")</f>
        <v>Merchant_013</v>
      </c>
      <c r="E143" s="7">
        <v>46031.620833333298</v>
      </c>
      <c r="F143">
        <v>149</v>
      </c>
      <c r="G143" s="8" t="s">
        <v>39</v>
      </c>
      <c r="H143" s="8" t="s">
        <v>40</v>
      </c>
      <c r="I143">
        <v>49</v>
      </c>
      <c r="J143" s="9">
        <f t="shared" si="4"/>
        <v>46031</v>
      </c>
      <c r="K143" s="10">
        <f>INDEX(Daily_Merchant_Pivot!$B$3:$AO$32,MATCH(J143,Daily_Merchant_Pivot!$A$3:$A$32,0),MATCH(C143,Daily_Merchant_Pivot!$B$2:$AO$2,0))</f>
        <v>198</v>
      </c>
      <c r="L143" s="3" t="str">
        <f>INDEX(Merchant_Region_Map!$D$3:$D$42,MATCH(C143,Merchant_Region_Map!$A$3:$A$42,0))</f>
        <v>East</v>
      </c>
      <c r="M143" s="11" t="str">
        <f t="shared" si="5"/>
        <v/>
      </c>
    </row>
    <row r="144" spans="1:13" x14ac:dyDescent="0.25">
      <c r="A144" t="s">
        <v>186</v>
      </c>
      <c r="B144">
        <v>122</v>
      </c>
      <c r="C144">
        <v>25</v>
      </c>
      <c r="D144" s="13" t="str">
        <f>IFERROR(VLOOKUP(C144,[1]Sheet1!$A$1:$C$41,2,0),"Merchant Not Found")</f>
        <v>Merchant_025</v>
      </c>
      <c r="E144" s="7">
        <v>46050.629166666702</v>
      </c>
      <c r="F144">
        <v>299</v>
      </c>
      <c r="G144" s="8" t="s">
        <v>39</v>
      </c>
      <c r="H144" s="8" t="s">
        <v>40</v>
      </c>
      <c r="I144">
        <v>73</v>
      </c>
      <c r="J144" s="9">
        <f t="shared" si="4"/>
        <v>46050</v>
      </c>
      <c r="K144" s="10">
        <f>INDEX(Daily_Merchant_Pivot!$B$3:$AO$32,MATCH(J144,Daily_Merchant_Pivot!$A$3:$A$32,0),MATCH(C144,Daily_Merchant_Pivot!$B$2:$AO$2,0))</f>
        <v>299</v>
      </c>
      <c r="L144" s="3" t="str">
        <f>INDEX(Merchant_Region_Map!$D$3:$D$42,MATCH(C144,Merchant_Region_Map!$A$3:$A$42,0))</f>
        <v>South</v>
      </c>
      <c r="M144" s="11" t="str">
        <f t="shared" si="5"/>
        <v/>
      </c>
    </row>
    <row r="145" spans="1:13" x14ac:dyDescent="0.25">
      <c r="A145" t="s">
        <v>187</v>
      </c>
      <c r="B145">
        <v>152</v>
      </c>
      <c r="C145">
        <v>2</v>
      </c>
      <c r="D145" s="13" t="str">
        <f>IFERROR(VLOOKUP(C145,[1]Sheet1!$A$1:$C$41,2,0),"Merchant Not Found")</f>
        <v>Merchant_002</v>
      </c>
      <c r="E145" s="7">
        <v>46034.762499999997</v>
      </c>
      <c r="F145">
        <v>49</v>
      </c>
      <c r="G145" s="8" t="s">
        <v>39</v>
      </c>
      <c r="H145" s="8" t="s">
        <v>40</v>
      </c>
      <c r="I145">
        <v>84</v>
      </c>
      <c r="J145" s="9">
        <f t="shared" si="4"/>
        <v>46034</v>
      </c>
      <c r="K145" s="10">
        <f>INDEX(Daily_Merchant_Pivot!$B$3:$AO$32,MATCH(J145,Daily_Merchant_Pivot!$A$3:$A$32,0),MATCH(C145,Daily_Merchant_Pivot!$B$2:$AO$2,0))</f>
        <v>348</v>
      </c>
      <c r="L145" s="3" t="str">
        <f>INDEX(Merchant_Region_Map!$D$3:$D$42,MATCH(C145,Merchant_Region_Map!$A$3:$A$42,0))</f>
        <v>West</v>
      </c>
      <c r="M145" s="11" t="str">
        <f t="shared" si="5"/>
        <v/>
      </c>
    </row>
    <row r="146" spans="1:13" x14ac:dyDescent="0.25">
      <c r="A146" t="s">
        <v>188</v>
      </c>
      <c r="B146">
        <v>290</v>
      </c>
      <c r="C146">
        <v>4</v>
      </c>
      <c r="D146" s="13" t="str">
        <f>IFERROR(VLOOKUP(C146,[1]Sheet1!$A$1:$C$41,2,0),"Merchant Not Found")</f>
        <v>Merchant_004</v>
      </c>
      <c r="E146" s="7">
        <v>46035.333333333299</v>
      </c>
      <c r="F146">
        <v>149</v>
      </c>
      <c r="G146" s="8" t="s">
        <v>39</v>
      </c>
      <c r="H146" s="8" t="s">
        <v>40</v>
      </c>
      <c r="I146">
        <v>77</v>
      </c>
      <c r="J146" s="9">
        <f t="shared" si="4"/>
        <v>46035</v>
      </c>
      <c r="K146" s="10">
        <f>INDEX(Daily_Merchant_Pivot!$B$3:$AO$32,MATCH(J146,Daily_Merchant_Pivot!$A$3:$A$32,0),MATCH(C146,Daily_Merchant_Pivot!$B$2:$AO$2,0))</f>
        <v>948</v>
      </c>
      <c r="L146" s="3" t="str">
        <f>INDEX(Merchant_Region_Map!$D$3:$D$42,MATCH(C146,Merchant_Region_Map!$A$3:$A$42,0))</f>
        <v>East</v>
      </c>
      <c r="M146" s="11" t="str">
        <f t="shared" si="5"/>
        <v/>
      </c>
    </row>
    <row r="147" spans="1:13" x14ac:dyDescent="0.25">
      <c r="A147" t="s">
        <v>189</v>
      </c>
      <c r="B147">
        <v>147</v>
      </c>
      <c r="C147">
        <v>15</v>
      </c>
      <c r="D147" s="13" t="str">
        <f>IFERROR(VLOOKUP(C147,[1]Sheet1!$A$1:$C$41,2,0),"Merchant Not Found")</f>
        <v>Merchant_015</v>
      </c>
      <c r="E147" s="7">
        <v>46046.661805555603</v>
      </c>
      <c r="F147">
        <v>49</v>
      </c>
      <c r="G147" s="8" t="s">
        <v>42</v>
      </c>
      <c r="H147" s="8" t="s">
        <v>40</v>
      </c>
      <c r="I147">
        <v>77</v>
      </c>
      <c r="J147" s="9">
        <f t="shared" si="4"/>
        <v>46046</v>
      </c>
      <c r="K147" s="10">
        <f>INDEX(Daily_Merchant_Pivot!$B$3:$AO$32,MATCH(J147,Daily_Merchant_Pivot!$A$3:$A$32,0),MATCH(C147,Daily_Merchant_Pivot!$B$2:$AO$2,0))</f>
        <v>49</v>
      </c>
      <c r="L147" s="3" t="str">
        <f>INDEX(Merchant_Region_Map!$D$3:$D$42,MATCH(C147,Merchant_Region_Map!$A$3:$A$42,0))</f>
        <v>North</v>
      </c>
      <c r="M147" s="11" t="str">
        <f t="shared" si="5"/>
        <v/>
      </c>
    </row>
    <row r="148" spans="1:13" x14ac:dyDescent="0.25">
      <c r="A148" t="s">
        <v>190</v>
      </c>
      <c r="B148">
        <v>326</v>
      </c>
      <c r="C148">
        <v>13</v>
      </c>
      <c r="D148" s="13" t="str">
        <f>IFERROR(VLOOKUP(C148,[1]Sheet1!$A$1:$C$41,2,0),"Merchant Not Found")</f>
        <v>Merchant_013</v>
      </c>
      <c r="E148" s="7">
        <v>46048.468055555597</v>
      </c>
      <c r="F148">
        <v>299</v>
      </c>
      <c r="G148" s="8" t="s">
        <v>44</v>
      </c>
      <c r="H148" s="8" t="s">
        <v>40</v>
      </c>
      <c r="I148">
        <v>79</v>
      </c>
      <c r="J148" s="9">
        <f t="shared" si="4"/>
        <v>46048</v>
      </c>
      <c r="K148" s="10">
        <f>INDEX(Daily_Merchant_Pivot!$B$3:$AO$32,MATCH(J148,Daily_Merchant_Pivot!$A$3:$A$32,0),MATCH(C148,Daily_Merchant_Pivot!$B$2:$AO$2,0))</f>
        <v>299</v>
      </c>
      <c r="L148" s="3" t="str">
        <f>INDEX(Merchant_Region_Map!$D$3:$D$42,MATCH(C148,Merchant_Region_Map!$A$3:$A$42,0))</f>
        <v>East</v>
      </c>
      <c r="M148" s="11" t="str">
        <f t="shared" si="5"/>
        <v/>
      </c>
    </row>
    <row r="149" spans="1:13" x14ac:dyDescent="0.25">
      <c r="A149" t="s">
        <v>191</v>
      </c>
      <c r="B149">
        <v>338</v>
      </c>
      <c r="C149">
        <v>9</v>
      </c>
      <c r="D149" s="13" t="str">
        <f>IFERROR(VLOOKUP(C149,[1]Sheet1!$A$1:$C$41,2,0),"Merchant Not Found")</f>
        <v>Merchant_009</v>
      </c>
      <c r="E149" s="7">
        <v>46031.908333333296</v>
      </c>
      <c r="F149">
        <v>99</v>
      </c>
      <c r="G149" s="8" t="s">
        <v>52</v>
      </c>
      <c r="H149" s="8" t="s">
        <v>40</v>
      </c>
      <c r="I149">
        <v>80</v>
      </c>
      <c r="J149" s="9">
        <f t="shared" si="4"/>
        <v>46031</v>
      </c>
      <c r="K149" s="10">
        <f>INDEX(Daily_Merchant_Pivot!$B$3:$AO$32,MATCH(J149,Daily_Merchant_Pivot!$A$3:$A$32,0),MATCH(C149,Daily_Merchant_Pivot!$B$2:$AO$2,0))</f>
        <v>99</v>
      </c>
      <c r="L149" s="3" t="str">
        <f>INDEX(Merchant_Region_Map!$D$3:$D$42,MATCH(C149,Merchant_Region_Map!$A$3:$A$42,0))</f>
        <v>North</v>
      </c>
      <c r="M149" s="11" t="str">
        <f t="shared" si="5"/>
        <v/>
      </c>
    </row>
    <row r="150" spans="1:13" x14ac:dyDescent="0.25">
      <c r="A150" t="s">
        <v>192</v>
      </c>
      <c r="B150">
        <v>21</v>
      </c>
      <c r="C150">
        <v>20</v>
      </c>
      <c r="D150" s="13" t="str">
        <f>IFERROR(VLOOKUP(C150,[1]Sheet1!$A$1:$C$41,2,0),"Merchant Not Found")</f>
        <v>Merchant_020</v>
      </c>
      <c r="E150" s="7">
        <v>46026.8618055556</v>
      </c>
      <c r="F150">
        <v>2999</v>
      </c>
      <c r="G150" s="8" t="s">
        <v>39</v>
      </c>
      <c r="H150" s="8" t="s">
        <v>40</v>
      </c>
      <c r="I150">
        <v>100</v>
      </c>
      <c r="J150" s="9">
        <f t="shared" si="4"/>
        <v>46026</v>
      </c>
      <c r="K150" s="10">
        <f>INDEX(Daily_Merchant_Pivot!$B$3:$AO$32,MATCH(J150,Daily_Merchant_Pivot!$A$3:$A$32,0),MATCH(C150,Daily_Merchant_Pivot!$B$2:$AO$2,0))</f>
        <v>2999</v>
      </c>
      <c r="L150" s="3" t="str">
        <f>INDEX(Merchant_Region_Map!$D$3:$D$42,MATCH(C150,Merchant_Region_Map!$A$3:$A$42,0))</f>
        <v>East</v>
      </c>
      <c r="M150" s="11" t="str">
        <f t="shared" si="5"/>
        <v/>
      </c>
    </row>
    <row r="151" spans="1:13" x14ac:dyDescent="0.25">
      <c r="A151" t="s">
        <v>193</v>
      </c>
      <c r="B151">
        <v>187</v>
      </c>
      <c r="C151">
        <v>9</v>
      </c>
      <c r="D151" s="13" t="str">
        <f>IFERROR(VLOOKUP(C151,[1]Sheet1!$A$1:$C$41,2,0),"Merchant Not Found")</f>
        <v>Merchant_009</v>
      </c>
      <c r="E151" s="7">
        <v>46037.067361111098</v>
      </c>
      <c r="F151">
        <v>49</v>
      </c>
      <c r="G151" s="8" t="s">
        <v>52</v>
      </c>
      <c r="H151" s="8" t="s">
        <v>53</v>
      </c>
      <c r="I151">
        <v>11</v>
      </c>
      <c r="J151" s="9">
        <f t="shared" si="4"/>
        <v>46037</v>
      </c>
      <c r="K151" s="10">
        <f>INDEX(Daily_Merchant_Pivot!$B$3:$AO$32,MATCH(J151,Daily_Merchant_Pivot!$A$3:$A$32,0),MATCH(C151,Daily_Merchant_Pivot!$B$2:$AO$2,0))</f>
        <v>0</v>
      </c>
      <c r="L151" s="3" t="str">
        <f>INDEX(Merchant_Region_Map!$D$3:$D$42,MATCH(C151,Merchant_Region_Map!$A$3:$A$42,0))</f>
        <v>North</v>
      </c>
      <c r="M151" s="11" t="str">
        <f t="shared" si="5"/>
        <v/>
      </c>
    </row>
    <row r="152" spans="1:13" x14ac:dyDescent="0.25">
      <c r="A152" t="s">
        <v>194</v>
      </c>
      <c r="B152">
        <v>213</v>
      </c>
      <c r="C152">
        <v>12</v>
      </c>
      <c r="D152" s="13" t="str">
        <f>IFERROR(VLOOKUP(C152,[1]Sheet1!$A$1:$C$41,2,0),"Merchant Not Found")</f>
        <v>Merchant_012</v>
      </c>
      <c r="E152" s="7">
        <v>46052.388888888898</v>
      </c>
      <c r="F152">
        <v>4999</v>
      </c>
      <c r="G152" s="8" t="s">
        <v>39</v>
      </c>
      <c r="H152" s="8" t="s">
        <v>40</v>
      </c>
      <c r="I152">
        <v>25</v>
      </c>
      <c r="J152" s="9">
        <f t="shared" si="4"/>
        <v>46052</v>
      </c>
      <c r="K152" s="10">
        <f>INDEX(Daily_Merchant_Pivot!$B$3:$AO$32,MATCH(J152,Daily_Merchant_Pivot!$A$3:$A$32,0),MATCH(C152,Daily_Merchant_Pivot!$B$2:$AO$2,0))</f>
        <v>4999</v>
      </c>
      <c r="L152" s="3" t="str">
        <f>INDEX(Merchant_Region_Map!$D$3:$D$42,MATCH(C152,Merchant_Region_Map!$A$3:$A$42,0))</f>
        <v>East</v>
      </c>
      <c r="M152" s="11" t="str">
        <f t="shared" si="5"/>
        <v/>
      </c>
    </row>
    <row r="153" spans="1:13" x14ac:dyDescent="0.25">
      <c r="A153" t="s">
        <v>195</v>
      </c>
      <c r="B153">
        <v>188</v>
      </c>
      <c r="C153">
        <v>34</v>
      </c>
      <c r="D153" s="13" t="str">
        <f>IFERROR(VLOOKUP(C153,[1]Sheet1!$A$1:$C$41,2,0),"Merchant Not Found")</f>
        <v>Merchant_034</v>
      </c>
      <c r="E153" s="7">
        <v>46027.747222222199</v>
      </c>
      <c r="F153">
        <v>2999</v>
      </c>
      <c r="G153" s="8" t="s">
        <v>39</v>
      </c>
      <c r="H153" s="8" t="s">
        <v>40</v>
      </c>
      <c r="I153">
        <v>64</v>
      </c>
      <c r="J153" s="9">
        <f t="shared" si="4"/>
        <v>46027</v>
      </c>
      <c r="K153" s="10">
        <f>INDEX(Daily_Merchant_Pivot!$B$3:$AO$32,MATCH(J153,Daily_Merchant_Pivot!$A$3:$A$32,0),MATCH(C153,Daily_Merchant_Pivot!$B$2:$AO$2,0))</f>
        <v>2999</v>
      </c>
      <c r="L153" s="3" t="str">
        <f>INDEX(Merchant_Region_Map!$D$3:$D$42,MATCH(C153,Merchant_Region_Map!$A$3:$A$42,0))</f>
        <v>South</v>
      </c>
      <c r="M153" s="11" t="str">
        <f t="shared" si="5"/>
        <v/>
      </c>
    </row>
    <row r="154" spans="1:13" x14ac:dyDescent="0.25">
      <c r="A154" t="s">
        <v>196</v>
      </c>
      <c r="B154">
        <v>85</v>
      </c>
      <c r="C154">
        <v>17</v>
      </c>
      <c r="D154" s="13" t="str">
        <f>IFERROR(VLOOKUP(C154,[1]Sheet1!$A$1:$C$41,2,0),"Merchant Not Found")</f>
        <v>Merchant_017</v>
      </c>
      <c r="E154" s="7">
        <v>46052.370138888902</v>
      </c>
      <c r="F154">
        <v>499</v>
      </c>
      <c r="G154" s="8" t="s">
        <v>39</v>
      </c>
      <c r="H154" s="8" t="s">
        <v>40</v>
      </c>
      <c r="I154">
        <v>61</v>
      </c>
      <c r="J154" s="9">
        <f t="shared" si="4"/>
        <v>46052</v>
      </c>
      <c r="K154" s="10">
        <f>INDEX(Daily_Merchant_Pivot!$B$3:$AO$32,MATCH(J154,Daily_Merchant_Pivot!$A$3:$A$32,0),MATCH(C154,Daily_Merchant_Pivot!$B$2:$AO$2,0))</f>
        <v>499</v>
      </c>
      <c r="L154" s="3" t="str">
        <f>INDEX(Merchant_Region_Map!$D$3:$D$42,MATCH(C154,Merchant_Region_Map!$A$3:$A$42,0))</f>
        <v>North</v>
      </c>
      <c r="M154" s="11" t="str">
        <f t="shared" si="5"/>
        <v/>
      </c>
    </row>
    <row r="155" spans="1:13" x14ac:dyDescent="0.25">
      <c r="A155" t="s">
        <v>197</v>
      </c>
      <c r="B155">
        <v>174</v>
      </c>
      <c r="C155">
        <v>8</v>
      </c>
      <c r="D155" s="13" t="str">
        <f>IFERROR(VLOOKUP(C155,[1]Sheet1!$A$1:$C$41,2,0),"Merchant Not Found")</f>
        <v>Merchant_008</v>
      </c>
      <c r="E155" s="7">
        <v>46048.407638888901</v>
      </c>
      <c r="F155">
        <v>299</v>
      </c>
      <c r="G155" s="8" t="s">
        <v>44</v>
      </c>
      <c r="H155" s="8" t="s">
        <v>40</v>
      </c>
      <c r="I155">
        <v>59</v>
      </c>
      <c r="J155" s="9">
        <f t="shared" si="4"/>
        <v>46048</v>
      </c>
      <c r="K155" s="10">
        <f>INDEX(Daily_Merchant_Pivot!$B$3:$AO$32,MATCH(J155,Daily_Merchant_Pivot!$A$3:$A$32,0),MATCH(C155,Daily_Merchant_Pivot!$B$2:$AO$2,0))</f>
        <v>598</v>
      </c>
      <c r="L155" s="3" t="str">
        <f>INDEX(Merchant_Region_Map!$D$3:$D$42,MATCH(C155,Merchant_Region_Map!$A$3:$A$42,0))</f>
        <v>North</v>
      </c>
      <c r="M155" s="11" t="str">
        <f t="shared" si="5"/>
        <v/>
      </c>
    </row>
    <row r="156" spans="1:13" x14ac:dyDescent="0.25">
      <c r="A156" t="s">
        <v>198</v>
      </c>
      <c r="B156">
        <v>116</v>
      </c>
      <c r="C156">
        <v>26</v>
      </c>
      <c r="D156" s="13" t="str">
        <f>IFERROR(VLOOKUP(C156,[1]Sheet1!$A$1:$C$41,2,0),"Merchant Not Found")</f>
        <v>Merchant_026</v>
      </c>
      <c r="E156" s="7">
        <v>46025.2</v>
      </c>
      <c r="F156">
        <v>99</v>
      </c>
      <c r="G156" s="8" t="s">
        <v>44</v>
      </c>
      <c r="H156" s="8" t="s">
        <v>40</v>
      </c>
      <c r="I156">
        <v>71</v>
      </c>
      <c r="J156" s="9">
        <f t="shared" si="4"/>
        <v>46025</v>
      </c>
      <c r="K156" s="10">
        <f>INDEX(Daily_Merchant_Pivot!$B$3:$AO$32,MATCH(J156,Daily_Merchant_Pivot!$A$3:$A$32,0),MATCH(C156,Daily_Merchant_Pivot!$B$2:$AO$2,0))</f>
        <v>99</v>
      </c>
      <c r="L156" s="3" t="str">
        <f>INDEX(Merchant_Region_Map!$D$3:$D$42,MATCH(C156,Merchant_Region_Map!$A$3:$A$42,0))</f>
        <v>East</v>
      </c>
      <c r="M156" s="11" t="str">
        <f t="shared" si="5"/>
        <v/>
      </c>
    </row>
    <row r="157" spans="1:13" x14ac:dyDescent="0.25">
      <c r="A157" t="s">
        <v>199</v>
      </c>
      <c r="B157">
        <v>203</v>
      </c>
      <c r="C157">
        <v>1</v>
      </c>
      <c r="D157" s="13" t="str">
        <f>IFERROR(VLOOKUP(C157,[1]Sheet1!$A$1:$C$41,2,0),"Merchant Not Found")</f>
        <v>Merchant_001</v>
      </c>
      <c r="E157" s="7">
        <v>46034.118055555598</v>
      </c>
      <c r="F157">
        <v>149</v>
      </c>
      <c r="G157" s="8" t="s">
        <v>42</v>
      </c>
      <c r="H157" s="8" t="s">
        <v>40</v>
      </c>
      <c r="I157">
        <v>33</v>
      </c>
      <c r="J157" s="9">
        <f t="shared" si="4"/>
        <v>46034</v>
      </c>
      <c r="K157" s="10">
        <f>INDEX(Daily_Merchant_Pivot!$B$3:$AO$32,MATCH(J157,Daily_Merchant_Pivot!$A$3:$A$32,0),MATCH(C157,Daily_Merchant_Pivot!$B$2:$AO$2,0))</f>
        <v>149</v>
      </c>
      <c r="L157" s="3" t="str">
        <f>INDEX(Merchant_Region_Map!$D$3:$D$42,MATCH(C157,Merchant_Region_Map!$A$3:$A$42,0))</f>
        <v>South</v>
      </c>
      <c r="M157" s="11" t="str">
        <f t="shared" si="5"/>
        <v/>
      </c>
    </row>
    <row r="158" spans="1:13" x14ac:dyDescent="0.25">
      <c r="A158" t="s">
        <v>200</v>
      </c>
      <c r="B158">
        <v>189</v>
      </c>
      <c r="C158">
        <v>17</v>
      </c>
      <c r="D158" s="13" t="str">
        <f>IFERROR(VLOOKUP(C158,[1]Sheet1!$A$1:$C$41,2,0),"Merchant Not Found")</f>
        <v>Merchant_017</v>
      </c>
      <c r="E158" s="7">
        <v>46040.145138888904</v>
      </c>
      <c r="F158">
        <v>99</v>
      </c>
      <c r="G158" s="8" t="s">
        <v>39</v>
      </c>
      <c r="H158" s="8" t="s">
        <v>40</v>
      </c>
      <c r="I158">
        <v>74</v>
      </c>
      <c r="J158" s="9">
        <f t="shared" si="4"/>
        <v>46040</v>
      </c>
      <c r="K158" s="10">
        <f>INDEX(Daily_Merchant_Pivot!$B$3:$AO$32,MATCH(J158,Daily_Merchant_Pivot!$A$3:$A$32,0),MATCH(C158,Daily_Merchant_Pivot!$B$2:$AO$2,0))</f>
        <v>198</v>
      </c>
      <c r="L158" s="3" t="str">
        <f>INDEX(Merchant_Region_Map!$D$3:$D$42,MATCH(C158,Merchant_Region_Map!$A$3:$A$42,0))</f>
        <v>North</v>
      </c>
      <c r="M158" s="11" t="str">
        <f t="shared" si="5"/>
        <v/>
      </c>
    </row>
    <row r="159" spans="1:13" x14ac:dyDescent="0.25">
      <c r="A159" t="s">
        <v>201</v>
      </c>
      <c r="B159">
        <v>56</v>
      </c>
      <c r="C159">
        <v>15</v>
      </c>
      <c r="D159" s="13" t="str">
        <f>IFERROR(VLOOKUP(C159,[1]Sheet1!$A$1:$C$41,2,0),"Merchant Not Found")</f>
        <v>Merchant_015</v>
      </c>
      <c r="E159" s="7">
        <v>46035.849305555603</v>
      </c>
      <c r="F159">
        <v>299</v>
      </c>
      <c r="G159" s="8" t="s">
        <v>39</v>
      </c>
      <c r="H159" s="8" t="s">
        <v>40</v>
      </c>
      <c r="I159">
        <v>60</v>
      </c>
      <c r="J159" s="9">
        <f t="shared" si="4"/>
        <v>46035</v>
      </c>
      <c r="K159" s="10">
        <f>INDEX(Daily_Merchant_Pivot!$B$3:$AO$32,MATCH(J159,Daily_Merchant_Pivot!$A$3:$A$32,0),MATCH(C159,Daily_Merchant_Pivot!$B$2:$AO$2,0))</f>
        <v>299</v>
      </c>
      <c r="L159" s="3" t="str">
        <f>INDEX(Merchant_Region_Map!$D$3:$D$42,MATCH(C159,Merchant_Region_Map!$A$3:$A$42,0))</f>
        <v>North</v>
      </c>
      <c r="M159" s="11" t="str">
        <f t="shared" si="5"/>
        <v/>
      </c>
    </row>
    <row r="160" spans="1:13" x14ac:dyDescent="0.25">
      <c r="A160" t="s">
        <v>202</v>
      </c>
      <c r="B160">
        <v>288</v>
      </c>
      <c r="C160">
        <v>21</v>
      </c>
      <c r="D160" s="13" t="str">
        <f>IFERROR(VLOOKUP(C160,[1]Sheet1!$A$1:$C$41,2,0),"Merchant Not Found")</f>
        <v>Merchant_021</v>
      </c>
      <c r="E160" s="7">
        <v>46023.8305555556</v>
      </c>
      <c r="F160">
        <v>4999</v>
      </c>
      <c r="G160" s="8" t="s">
        <v>42</v>
      </c>
      <c r="H160" s="8" t="s">
        <v>53</v>
      </c>
      <c r="I160">
        <v>78</v>
      </c>
      <c r="J160" s="9">
        <f t="shared" si="4"/>
        <v>46023</v>
      </c>
      <c r="K160" s="10">
        <f>INDEX(Daily_Merchant_Pivot!$B$3:$AO$32,MATCH(J160,Daily_Merchant_Pivot!$A$3:$A$32,0),MATCH(C160,Daily_Merchant_Pivot!$B$2:$AO$2,0))</f>
        <v>299</v>
      </c>
      <c r="L160" s="3" t="str">
        <f>INDEX(Merchant_Region_Map!$D$3:$D$42,MATCH(C160,Merchant_Region_Map!$A$3:$A$42,0))</f>
        <v>East</v>
      </c>
      <c r="M160" s="11" t="str">
        <f t="shared" si="5"/>
        <v/>
      </c>
    </row>
    <row r="161" spans="1:13" x14ac:dyDescent="0.25">
      <c r="A161" t="s">
        <v>203</v>
      </c>
      <c r="B161">
        <v>326</v>
      </c>
      <c r="C161">
        <v>30</v>
      </c>
      <c r="D161" s="13" t="str">
        <f>IFERROR(VLOOKUP(C161,[1]Sheet1!$A$1:$C$41,2,0),"Merchant Not Found")</f>
        <v>Merchant_030</v>
      </c>
      <c r="E161" s="7">
        <v>46030.836111111101</v>
      </c>
      <c r="F161">
        <v>99</v>
      </c>
      <c r="G161" s="8" t="s">
        <v>52</v>
      </c>
      <c r="H161" s="8" t="s">
        <v>40</v>
      </c>
      <c r="I161">
        <v>89</v>
      </c>
      <c r="J161" s="9">
        <f t="shared" si="4"/>
        <v>46030</v>
      </c>
      <c r="K161" s="10">
        <f>INDEX(Daily_Merchant_Pivot!$B$3:$AO$32,MATCH(J161,Daily_Merchant_Pivot!$A$3:$A$32,0),MATCH(C161,Daily_Merchant_Pivot!$B$2:$AO$2,0))</f>
        <v>1197</v>
      </c>
      <c r="L161" s="3" t="str">
        <f>INDEX(Merchant_Region_Map!$D$3:$D$42,MATCH(C161,Merchant_Region_Map!$A$3:$A$42,0))</f>
        <v>West</v>
      </c>
      <c r="M161" s="11" t="str">
        <f t="shared" si="5"/>
        <v/>
      </c>
    </row>
    <row r="162" spans="1:13" x14ac:dyDescent="0.25">
      <c r="A162" t="s">
        <v>204</v>
      </c>
      <c r="B162">
        <v>60</v>
      </c>
      <c r="C162">
        <v>9</v>
      </c>
      <c r="D162" s="13" t="str">
        <f>IFERROR(VLOOKUP(C162,[1]Sheet1!$A$1:$C$41,2,0),"Merchant Not Found")</f>
        <v>Merchant_009</v>
      </c>
      <c r="E162" s="7">
        <v>46032.851388888899</v>
      </c>
      <c r="F162">
        <v>49</v>
      </c>
      <c r="G162" s="8" t="s">
        <v>44</v>
      </c>
      <c r="H162" s="8" t="s">
        <v>40</v>
      </c>
      <c r="I162">
        <v>5</v>
      </c>
      <c r="J162" s="9">
        <f t="shared" si="4"/>
        <v>46032</v>
      </c>
      <c r="K162" s="10">
        <f>INDEX(Daily_Merchant_Pivot!$B$3:$AO$32,MATCH(J162,Daily_Merchant_Pivot!$A$3:$A$32,0),MATCH(C162,Daily_Merchant_Pivot!$B$2:$AO$2,0))</f>
        <v>49</v>
      </c>
      <c r="L162" s="3" t="str">
        <f>INDEX(Merchant_Region_Map!$D$3:$D$42,MATCH(C162,Merchant_Region_Map!$A$3:$A$42,0))</f>
        <v>North</v>
      </c>
      <c r="M162" s="11" t="str">
        <f t="shared" si="5"/>
        <v/>
      </c>
    </row>
    <row r="163" spans="1:13" x14ac:dyDescent="0.25">
      <c r="A163" t="s">
        <v>205</v>
      </c>
      <c r="B163">
        <v>60</v>
      </c>
      <c r="C163">
        <v>7</v>
      </c>
      <c r="D163" s="13" t="str">
        <f>IFERROR(VLOOKUP(C163,[1]Sheet1!$A$1:$C$41,2,0),"Merchant Not Found")</f>
        <v>Merchant_007</v>
      </c>
      <c r="E163" s="7">
        <v>46024.396527777797</v>
      </c>
      <c r="F163">
        <v>2999</v>
      </c>
      <c r="G163" s="8" t="s">
        <v>42</v>
      </c>
      <c r="H163" s="8" t="s">
        <v>40</v>
      </c>
      <c r="I163">
        <v>30</v>
      </c>
      <c r="J163" s="9">
        <f t="shared" si="4"/>
        <v>46024</v>
      </c>
      <c r="K163" s="10">
        <f>INDEX(Daily_Merchant_Pivot!$B$3:$AO$32,MATCH(J163,Daily_Merchant_Pivot!$A$3:$A$32,0),MATCH(C163,Daily_Merchant_Pivot!$B$2:$AO$2,0))</f>
        <v>2999</v>
      </c>
      <c r="L163" s="3" t="str">
        <f>INDEX(Merchant_Region_Map!$D$3:$D$42,MATCH(C163,Merchant_Region_Map!$A$3:$A$42,0))</f>
        <v>East</v>
      </c>
      <c r="M163" s="11" t="str">
        <f t="shared" si="5"/>
        <v/>
      </c>
    </row>
    <row r="164" spans="1:13" x14ac:dyDescent="0.25">
      <c r="A164" t="s">
        <v>206</v>
      </c>
      <c r="B164">
        <v>199</v>
      </c>
      <c r="C164">
        <v>30</v>
      </c>
      <c r="D164" s="13" t="str">
        <f>IFERROR(VLOOKUP(C164,[1]Sheet1!$A$1:$C$41,2,0),"Merchant Not Found")</f>
        <v>Merchant_030</v>
      </c>
      <c r="E164" s="7">
        <v>46051.713888888902</v>
      </c>
      <c r="F164">
        <v>149</v>
      </c>
      <c r="G164" s="8" t="s">
        <v>44</v>
      </c>
      <c r="H164" s="8" t="s">
        <v>40</v>
      </c>
      <c r="I164">
        <v>47</v>
      </c>
      <c r="J164" s="9">
        <f t="shared" si="4"/>
        <v>46051</v>
      </c>
      <c r="K164" s="10">
        <f>INDEX(Daily_Merchant_Pivot!$B$3:$AO$32,MATCH(J164,Daily_Merchant_Pivot!$A$3:$A$32,0),MATCH(C164,Daily_Merchant_Pivot!$B$2:$AO$2,0))</f>
        <v>149</v>
      </c>
      <c r="L164" s="3" t="str">
        <f>INDEX(Merchant_Region_Map!$D$3:$D$42,MATCH(C164,Merchant_Region_Map!$A$3:$A$42,0))</f>
        <v>West</v>
      </c>
      <c r="M164" s="11" t="str">
        <f t="shared" si="5"/>
        <v/>
      </c>
    </row>
    <row r="165" spans="1:13" x14ac:dyDescent="0.25">
      <c r="A165" t="s">
        <v>207</v>
      </c>
      <c r="B165">
        <v>277</v>
      </c>
      <c r="C165">
        <v>27</v>
      </c>
      <c r="D165" s="13" t="str">
        <f>IFERROR(VLOOKUP(C165,[1]Sheet1!$A$1:$C$41,2,0),"Merchant Not Found")</f>
        <v>Merchant_027</v>
      </c>
      <c r="E165" s="7">
        <v>46044.988888888904</v>
      </c>
      <c r="F165">
        <v>49</v>
      </c>
      <c r="G165" s="8" t="s">
        <v>39</v>
      </c>
      <c r="H165" s="8" t="s">
        <v>40</v>
      </c>
      <c r="I165">
        <v>75</v>
      </c>
      <c r="J165" s="9">
        <f t="shared" si="4"/>
        <v>46044</v>
      </c>
      <c r="K165" s="10">
        <f>INDEX(Daily_Merchant_Pivot!$B$3:$AO$32,MATCH(J165,Daily_Merchant_Pivot!$A$3:$A$32,0),MATCH(C165,Daily_Merchant_Pivot!$B$2:$AO$2,0))</f>
        <v>49</v>
      </c>
      <c r="L165" s="3" t="str">
        <f>INDEX(Merchant_Region_Map!$D$3:$D$42,MATCH(C165,Merchant_Region_Map!$A$3:$A$42,0))</f>
        <v>North</v>
      </c>
      <c r="M165" s="11" t="str">
        <f t="shared" si="5"/>
        <v/>
      </c>
    </row>
    <row r="166" spans="1:13" x14ac:dyDescent="0.25">
      <c r="A166" t="s">
        <v>208</v>
      </c>
      <c r="B166">
        <v>213</v>
      </c>
      <c r="C166">
        <v>7</v>
      </c>
      <c r="D166" s="13" t="str">
        <f>IFERROR(VLOOKUP(C166,[1]Sheet1!$A$1:$C$41,2,0),"Merchant Not Found")</f>
        <v>Merchant_007</v>
      </c>
      <c r="E166" s="7">
        <v>46046.964583333298</v>
      </c>
      <c r="F166">
        <v>799</v>
      </c>
      <c r="G166" s="8" t="s">
        <v>44</v>
      </c>
      <c r="H166" s="8" t="s">
        <v>40</v>
      </c>
      <c r="I166">
        <v>62</v>
      </c>
      <c r="J166" s="9">
        <f t="shared" si="4"/>
        <v>46046</v>
      </c>
      <c r="K166" s="10">
        <f>INDEX(Daily_Merchant_Pivot!$B$3:$AO$32,MATCH(J166,Daily_Merchant_Pivot!$A$3:$A$32,0),MATCH(C166,Daily_Merchant_Pivot!$B$2:$AO$2,0))</f>
        <v>1298</v>
      </c>
      <c r="L166" s="3" t="str">
        <f>INDEX(Merchant_Region_Map!$D$3:$D$42,MATCH(C166,Merchant_Region_Map!$A$3:$A$42,0))</f>
        <v>East</v>
      </c>
      <c r="M166" s="11" t="str">
        <f t="shared" si="5"/>
        <v/>
      </c>
    </row>
    <row r="167" spans="1:13" x14ac:dyDescent="0.25">
      <c r="A167" t="s">
        <v>209</v>
      </c>
      <c r="B167">
        <v>17</v>
      </c>
      <c r="C167">
        <v>24</v>
      </c>
      <c r="D167" s="13" t="str">
        <f>IFERROR(VLOOKUP(C167,[1]Sheet1!$A$1:$C$41,2,0),"Merchant Not Found")</f>
        <v>Merchant_024</v>
      </c>
      <c r="E167" s="7">
        <v>46042.5534722222</v>
      </c>
      <c r="F167">
        <v>299</v>
      </c>
      <c r="G167" s="8" t="s">
        <v>39</v>
      </c>
      <c r="H167" s="8" t="s">
        <v>40</v>
      </c>
      <c r="I167">
        <v>27</v>
      </c>
      <c r="J167" s="9">
        <f t="shared" si="4"/>
        <v>46042</v>
      </c>
      <c r="K167" s="10">
        <f>INDEX(Daily_Merchant_Pivot!$B$3:$AO$32,MATCH(J167,Daily_Merchant_Pivot!$A$3:$A$32,0),MATCH(C167,Daily_Merchant_Pivot!$B$2:$AO$2,0))</f>
        <v>299</v>
      </c>
      <c r="L167" s="3" t="str">
        <f>INDEX(Merchant_Region_Map!$D$3:$D$42,MATCH(C167,Merchant_Region_Map!$A$3:$A$42,0))</f>
        <v>North</v>
      </c>
      <c r="M167" s="11" t="str">
        <f t="shared" si="5"/>
        <v/>
      </c>
    </row>
    <row r="168" spans="1:13" x14ac:dyDescent="0.25">
      <c r="A168" t="s">
        <v>210</v>
      </c>
      <c r="B168">
        <v>186</v>
      </c>
      <c r="C168">
        <v>7</v>
      </c>
      <c r="D168" s="13" t="str">
        <f>IFERROR(VLOOKUP(C168,[1]Sheet1!$A$1:$C$41,2,0),"Merchant Not Found")</f>
        <v>Merchant_007</v>
      </c>
      <c r="E168" s="7">
        <v>46037.59375</v>
      </c>
      <c r="F168">
        <v>1499</v>
      </c>
      <c r="G168" s="8" t="s">
        <v>52</v>
      </c>
      <c r="H168" s="8" t="s">
        <v>53</v>
      </c>
      <c r="I168">
        <v>87</v>
      </c>
      <c r="J168" s="9">
        <f t="shared" si="4"/>
        <v>46037</v>
      </c>
      <c r="K168" s="10">
        <f>INDEX(Daily_Merchant_Pivot!$B$3:$AO$32,MATCH(J168,Daily_Merchant_Pivot!$A$3:$A$32,0),MATCH(C168,Daily_Merchant_Pivot!$B$2:$AO$2,0))</f>
        <v>149</v>
      </c>
      <c r="L168" s="3" t="str">
        <f>INDEX(Merchant_Region_Map!$D$3:$D$42,MATCH(C168,Merchant_Region_Map!$A$3:$A$42,0))</f>
        <v>East</v>
      </c>
      <c r="M168" s="11" t="str">
        <f t="shared" si="5"/>
        <v/>
      </c>
    </row>
    <row r="169" spans="1:13" x14ac:dyDescent="0.25">
      <c r="A169" t="s">
        <v>211</v>
      </c>
      <c r="B169">
        <v>331</v>
      </c>
      <c r="C169">
        <v>23</v>
      </c>
      <c r="D169" s="13" t="str">
        <f>IFERROR(VLOOKUP(C169,[1]Sheet1!$A$1:$C$41,2,0),"Merchant Not Found")</f>
        <v>Merchant_023</v>
      </c>
      <c r="E169" s="7">
        <v>46034.747916666704</v>
      </c>
      <c r="F169">
        <v>149</v>
      </c>
      <c r="G169" s="8" t="s">
        <v>39</v>
      </c>
      <c r="H169" s="8" t="s">
        <v>40</v>
      </c>
      <c r="I169">
        <v>7</v>
      </c>
      <c r="J169" s="9">
        <f t="shared" si="4"/>
        <v>46034</v>
      </c>
      <c r="K169" s="10">
        <f>INDEX(Daily_Merchant_Pivot!$B$3:$AO$32,MATCH(J169,Daily_Merchant_Pivot!$A$3:$A$32,0),MATCH(C169,Daily_Merchant_Pivot!$B$2:$AO$2,0))</f>
        <v>149</v>
      </c>
      <c r="L169" s="3" t="str">
        <f>INDEX(Merchant_Region_Map!$D$3:$D$42,MATCH(C169,Merchant_Region_Map!$A$3:$A$42,0))</f>
        <v>North</v>
      </c>
      <c r="M169" s="11" t="str">
        <f t="shared" si="5"/>
        <v/>
      </c>
    </row>
    <row r="170" spans="1:13" x14ac:dyDescent="0.25">
      <c r="A170" t="s">
        <v>212</v>
      </c>
      <c r="B170">
        <v>63</v>
      </c>
      <c r="C170">
        <v>30</v>
      </c>
      <c r="D170" s="13" t="str">
        <f>IFERROR(VLOOKUP(C170,[1]Sheet1!$A$1:$C$41,2,0),"Merchant Not Found")</f>
        <v>Merchant_030</v>
      </c>
      <c r="E170" s="7">
        <v>46035.341666666704</v>
      </c>
      <c r="F170">
        <v>1499</v>
      </c>
      <c r="G170" s="8" t="s">
        <v>52</v>
      </c>
      <c r="H170" s="8" t="s">
        <v>40</v>
      </c>
      <c r="I170">
        <v>11</v>
      </c>
      <c r="J170" s="9">
        <f t="shared" si="4"/>
        <v>46035</v>
      </c>
      <c r="K170" s="10">
        <f>INDEX(Daily_Merchant_Pivot!$B$3:$AO$32,MATCH(J170,Daily_Merchant_Pivot!$A$3:$A$32,0),MATCH(C170,Daily_Merchant_Pivot!$B$2:$AO$2,0))</f>
        <v>1499</v>
      </c>
      <c r="L170" s="3" t="str">
        <f>INDEX(Merchant_Region_Map!$D$3:$D$42,MATCH(C170,Merchant_Region_Map!$A$3:$A$42,0))</f>
        <v>West</v>
      </c>
      <c r="M170" s="11" t="str">
        <f t="shared" si="5"/>
        <v/>
      </c>
    </row>
    <row r="171" spans="1:13" x14ac:dyDescent="0.25">
      <c r="A171" t="s">
        <v>213</v>
      </c>
      <c r="B171">
        <v>328</v>
      </c>
      <c r="C171">
        <v>39</v>
      </c>
      <c r="D171" s="13" t="str">
        <f>IFERROR(VLOOKUP(C171,[1]Sheet1!$A$1:$C$41,2,0),"Merchant Not Found")</f>
        <v>Merchant_039</v>
      </c>
      <c r="E171" s="7">
        <v>46044.278472222199</v>
      </c>
      <c r="F171">
        <v>4999</v>
      </c>
      <c r="G171" s="8" t="s">
        <v>42</v>
      </c>
      <c r="H171" s="8" t="s">
        <v>66</v>
      </c>
      <c r="I171">
        <v>2</v>
      </c>
      <c r="J171" s="9">
        <f t="shared" si="4"/>
        <v>46044</v>
      </c>
      <c r="K171" s="10">
        <f>INDEX(Daily_Merchant_Pivot!$B$3:$AO$32,MATCH(J171,Daily_Merchant_Pivot!$A$3:$A$32,0),MATCH(C171,Daily_Merchant_Pivot!$B$2:$AO$2,0))</f>
        <v>799</v>
      </c>
      <c r="L171" s="3" t="str">
        <f>INDEX(Merchant_Region_Map!$D$3:$D$42,MATCH(C171,Merchant_Region_Map!$A$3:$A$42,0))</f>
        <v>North</v>
      </c>
      <c r="M171" s="11" t="str">
        <f t="shared" si="5"/>
        <v/>
      </c>
    </row>
    <row r="172" spans="1:13" x14ac:dyDescent="0.25">
      <c r="A172" t="s">
        <v>214</v>
      </c>
      <c r="B172">
        <v>65</v>
      </c>
      <c r="C172">
        <v>37</v>
      </c>
      <c r="D172" s="13" t="str">
        <f>IFERROR(VLOOKUP(C172,[1]Sheet1!$A$1:$C$41,2,0),"Merchant Not Found")</f>
        <v>Merchant_037</v>
      </c>
      <c r="E172" s="7">
        <v>46024.427083333299</v>
      </c>
      <c r="F172">
        <v>2999</v>
      </c>
      <c r="G172" s="8" t="s">
        <v>52</v>
      </c>
      <c r="H172" s="8" t="s">
        <v>40</v>
      </c>
      <c r="I172">
        <v>26</v>
      </c>
      <c r="J172" s="9">
        <f t="shared" si="4"/>
        <v>46024</v>
      </c>
      <c r="K172" s="10">
        <f>INDEX(Daily_Merchant_Pivot!$B$3:$AO$32,MATCH(J172,Daily_Merchant_Pivot!$A$3:$A$32,0),MATCH(C172,Daily_Merchant_Pivot!$B$2:$AO$2,0))</f>
        <v>2999</v>
      </c>
      <c r="L172" s="3" t="str">
        <f>INDEX(Merchant_Region_Map!$D$3:$D$42,MATCH(C172,Merchant_Region_Map!$A$3:$A$42,0))</f>
        <v>South</v>
      </c>
      <c r="M172" s="11" t="str">
        <f t="shared" si="5"/>
        <v/>
      </c>
    </row>
    <row r="173" spans="1:13" x14ac:dyDescent="0.25">
      <c r="A173" t="s">
        <v>215</v>
      </c>
      <c r="B173">
        <v>301</v>
      </c>
      <c r="C173">
        <v>14</v>
      </c>
      <c r="D173" s="13" t="str">
        <f>IFERROR(VLOOKUP(C173,[1]Sheet1!$A$1:$C$41,2,0),"Merchant Not Found")</f>
        <v>Merchant_014</v>
      </c>
      <c r="E173" s="7">
        <v>46025.717361111099</v>
      </c>
      <c r="F173">
        <v>149</v>
      </c>
      <c r="G173" s="8" t="s">
        <v>39</v>
      </c>
      <c r="H173" s="8" t="s">
        <v>40</v>
      </c>
      <c r="I173">
        <v>29</v>
      </c>
      <c r="J173" s="9">
        <f t="shared" si="4"/>
        <v>46025</v>
      </c>
      <c r="K173" s="10">
        <f>INDEX(Daily_Merchant_Pivot!$B$3:$AO$32,MATCH(J173,Daily_Merchant_Pivot!$A$3:$A$32,0),MATCH(C173,Daily_Merchant_Pivot!$B$2:$AO$2,0))</f>
        <v>149</v>
      </c>
      <c r="L173" s="3" t="str">
        <f>INDEX(Merchant_Region_Map!$D$3:$D$42,MATCH(C173,Merchant_Region_Map!$A$3:$A$42,0))</f>
        <v>East</v>
      </c>
      <c r="M173" s="11" t="str">
        <f t="shared" si="5"/>
        <v/>
      </c>
    </row>
    <row r="174" spans="1:13" x14ac:dyDescent="0.25">
      <c r="A174" t="s">
        <v>216</v>
      </c>
      <c r="B174">
        <v>306</v>
      </c>
      <c r="C174">
        <v>1</v>
      </c>
      <c r="D174" s="13" t="str">
        <f>IFERROR(VLOOKUP(C174,[1]Sheet1!$A$1:$C$41,2,0),"Merchant Not Found")</f>
        <v>Merchant_001</v>
      </c>
      <c r="E174" s="7">
        <v>46033.201388888898</v>
      </c>
      <c r="F174">
        <v>299</v>
      </c>
      <c r="G174" s="8" t="s">
        <v>39</v>
      </c>
      <c r="H174" s="8" t="s">
        <v>53</v>
      </c>
      <c r="I174">
        <v>35</v>
      </c>
      <c r="J174" s="9">
        <f t="shared" si="4"/>
        <v>46033</v>
      </c>
      <c r="K174" s="10">
        <f>INDEX(Daily_Merchant_Pivot!$B$3:$AO$32,MATCH(J174,Daily_Merchant_Pivot!$A$3:$A$32,0),MATCH(C174,Daily_Merchant_Pivot!$B$2:$AO$2,0))</f>
        <v>0</v>
      </c>
      <c r="L174" s="3" t="str">
        <f>INDEX(Merchant_Region_Map!$D$3:$D$42,MATCH(C174,Merchant_Region_Map!$A$3:$A$42,0))</f>
        <v>South</v>
      </c>
      <c r="M174" s="11" t="str">
        <f t="shared" si="5"/>
        <v/>
      </c>
    </row>
    <row r="175" spans="1:13" x14ac:dyDescent="0.25">
      <c r="A175" t="s">
        <v>217</v>
      </c>
      <c r="B175">
        <v>277</v>
      </c>
      <c r="C175">
        <v>17</v>
      </c>
      <c r="D175" s="13" t="str">
        <f>IFERROR(VLOOKUP(C175,[1]Sheet1!$A$1:$C$41,2,0),"Merchant Not Found")</f>
        <v>Merchant_017</v>
      </c>
      <c r="E175" s="7">
        <v>46050.172222222202</v>
      </c>
      <c r="F175">
        <v>299</v>
      </c>
      <c r="G175" s="8" t="s">
        <v>39</v>
      </c>
      <c r="H175" s="8" t="s">
        <v>40</v>
      </c>
      <c r="I175">
        <v>22</v>
      </c>
      <c r="J175" s="9">
        <f t="shared" si="4"/>
        <v>46050</v>
      </c>
      <c r="K175" s="10">
        <f>INDEX(Daily_Merchant_Pivot!$B$3:$AO$32,MATCH(J175,Daily_Merchant_Pivot!$A$3:$A$32,0),MATCH(C175,Daily_Merchant_Pivot!$B$2:$AO$2,0))</f>
        <v>299</v>
      </c>
      <c r="L175" s="3" t="str">
        <f>INDEX(Merchant_Region_Map!$D$3:$D$42,MATCH(C175,Merchant_Region_Map!$A$3:$A$42,0))</f>
        <v>North</v>
      </c>
      <c r="M175" s="11" t="str">
        <f t="shared" si="5"/>
        <v/>
      </c>
    </row>
    <row r="176" spans="1:13" x14ac:dyDescent="0.25">
      <c r="A176" t="s">
        <v>218</v>
      </c>
      <c r="B176">
        <v>14</v>
      </c>
      <c r="C176">
        <v>9</v>
      </c>
      <c r="D176" s="13" t="str">
        <f>IFERROR(VLOOKUP(C176,[1]Sheet1!$A$1:$C$41,2,0),"Merchant Not Found")</f>
        <v>Merchant_009</v>
      </c>
      <c r="E176" s="7">
        <v>46026.913194444503</v>
      </c>
      <c r="F176">
        <v>499</v>
      </c>
      <c r="G176" s="8" t="s">
        <v>39</v>
      </c>
      <c r="H176" s="8" t="s">
        <v>40</v>
      </c>
      <c r="I176">
        <v>1</v>
      </c>
      <c r="J176" s="9">
        <f t="shared" si="4"/>
        <v>46026</v>
      </c>
      <c r="K176" s="10">
        <f>INDEX(Daily_Merchant_Pivot!$B$3:$AO$32,MATCH(J176,Daily_Merchant_Pivot!$A$3:$A$32,0),MATCH(C176,Daily_Merchant_Pivot!$B$2:$AO$2,0))</f>
        <v>499</v>
      </c>
      <c r="L176" s="3" t="str">
        <f>INDEX(Merchant_Region_Map!$D$3:$D$42,MATCH(C176,Merchant_Region_Map!$A$3:$A$42,0))</f>
        <v>North</v>
      </c>
      <c r="M176" s="11" t="str">
        <f t="shared" si="5"/>
        <v/>
      </c>
    </row>
    <row r="177" spans="1:13" x14ac:dyDescent="0.25">
      <c r="A177" t="s">
        <v>219</v>
      </c>
      <c r="B177">
        <v>166</v>
      </c>
      <c r="C177">
        <v>2</v>
      </c>
      <c r="D177" s="13" t="str">
        <f>IFERROR(VLOOKUP(C177,[1]Sheet1!$A$1:$C$41,2,0),"Merchant Not Found")</f>
        <v>Merchant_002</v>
      </c>
      <c r="E177" s="7">
        <v>46034.317361111098</v>
      </c>
      <c r="F177">
        <v>299</v>
      </c>
      <c r="G177" s="8" t="s">
        <v>52</v>
      </c>
      <c r="H177" s="8" t="s">
        <v>40</v>
      </c>
      <c r="I177">
        <v>22</v>
      </c>
      <c r="J177" s="9">
        <f t="shared" si="4"/>
        <v>46034</v>
      </c>
      <c r="K177" s="10">
        <f>INDEX(Daily_Merchant_Pivot!$B$3:$AO$32,MATCH(J177,Daily_Merchant_Pivot!$A$3:$A$32,0),MATCH(C177,Daily_Merchant_Pivot!$B$2:$AO$2,0))</f>
        <v>348</v>
      </c>
      <c r="L177" s="3" t="str">
        <f>INDEX(Merchant_Region_Map!$D$3:$D$42,MATCH(C177,Merchant_Region_Map!$A$3:$A$42,0))</f>
        <v>West</v>
      </c>
      <c r="M177" s="11" t="str">
        <f t="shared" si="5"/>
        <v/>
      </c>
    </row>
    <row r="178" spans="1:13" x14ac:dyDescent="0.25">
      <c r="A178" t="s">
        <v>220</v>
      </c>
      <c r="B178">
        <v>216</v>
      </c>
      <c r="C178">
        <v>34</v>
      </c>
      <c r="D178" s="13" t="str">
        <f>IFERROR(VLOOKUP(C178,[1]Sheet1!$A$1:$C$41,2,0),"Merchant Not Found")</f>
        <v>Merchant_034</v>
      </c>
      <c r="E178" s="7">
        <v>46031.047222222202</v>
      </c>
      <c r="F178">
        <v>299</v>
      </c>
      <c r="G178" s="8" t="s">
        <v>52</v>
      </c>
      <c r="H178" s="8" t="s">
        <v>40</v>
      </c>
      <c r="I178">
        <v>14</v>
      </c>
      <c r="J178" s="9">
        <f t="shared" si="4"/>
        <v>46031</v>
      </c>
      <c r="K178" s="10">
        <f>INDEX(Daily_Merchant_Pivot!$B$3:$AO$32,MATCH(J178,Daily_Merchant_Pivot!$A$3:$A$32,0),MATCH(C178,Daily_Merchant_Pivot!$B$2:$AO$2,0))</f>
        <v>299</v>
      </c>
      <c r="L178" s="3" t="str">
        <f>INDEX(Merchant_Region_Map!$D$3:$D$42,MATCH(C178,Merchant_Region_Map!$A$3:$A$42,0))</f>
        <v>South</v>
      </c>
      <c r="M178" s="11" t="str">
        <f t="shared" si="5"/>
        <v/>
      </c>
    </row>
    <row r="179" spans="1:13" x14ac:dyDescent="0.25">
      <c r="A179" t="s">
        <v>221</v>
      </c>
      <c r="B179">
        <v>230</v>
      </c>
      <c r="C179">
        <v>24</v>
      </c>
      <c r="D179" s="13" t="str">
        <f>IFERROR(VLOOKUP(C179,[1]Sheet1!$A$1:$C$41,2,0),"Merchant Not Found")</f>
        <v>Merchant_024</v>
      </c>
      <c r="E179" s="7">
        <v>46046.104166666701</v>
      </c>
      <c r="F179">
        <v>49</v>
      </c>
      <c r="G179" s="8" t="s">
        <v>39</v>
      </c>
      <c r="H179" s="8" t="s">
        <v>40</v>
      </c>
      <c r="I179">
        <v>65</v>
      </c>
      <c r="J179" s="9">
        <f t="shared" si="4"/>
        <v>46046</v>
      </c>
      <c r="K179" s="10">
        <f>INDEX(Daily_Merchant_Pivot!$B$3:$AO$32,MATCH(J179,Daily_Merchant_Pivot!$A$3:$A$32,0),MATCH(C179,Daily_Merchant_Pivot!$B$2:$AO$2,0))</f>
        <v>148</v>
      </c>
      <c r="L179" s="3" t="str">
        <f>INDEX(Merchant_Region_Map!$D$3:$D$42,MATCH(C179,Merchant_Region_Map!$A$3:$A$42,0))</f>
        <v>North</v>
      </c>
      <c r="M179" s="11" t="str">
        <f t="shared" si="5"/>
        <v/>
      </c>
    </row>
    <row r="180" spans="1:13" x14ac:dyDescent="0.25">
      <c r="A180" t="s">
        <v>222</v>
      </c>
      <c r="B180">
        <v>258</v>
      </c>
      <c r="C180">
        <v>15</v>
      </c>
      <c r="D180" s="13" t="str">
        <f>IFERROR(VLOOKUP(C180,[1]Sheet1!$A$1:$C$41,2,0),"Merchant Not Found")</f>
        <v>Merchant_015</v>
      </c>
      <c r="E180" s="7">
        <v>46041.144444444399</v>
      </c>
      <c r="F180">
        <v>499</v>
      </c>
      <c r="G180" s="8" t="s">
        <v>42</v>
      </c>
      <c r="H180" s="8" t="s">
        <v>40</v>
      </c>
      <c r="I180">
        <v>78</v>
      </c>
      <c r="J180" s="9">
        <f t="shared" si="4"/>
        <v>46041</v>
      </c>
      <c r="K180" s="10">
        <f>INDEX(Daily_Merchant_Pivot!$B$3:$AO$32,MATCH(J180,Daily_Merchant_Pivot!$A$3:$A$32,0),MATCH(C180,Daily_Merchant_Pivot!$B$2:$AO$2,0))</f>
        <v>499</v>
      </c>
      <c r="L180" s="3" t="str">
        <f>INDEX(Merchant_Region_Map!$D$3:$D$42,MATCH(C180,Merchant_Region_Map!$A$3:$A$42,0))</f>
        <v>North</v>
      </c>
      <c r="M180" s="11" t="str">
        <f t="shared" si="5"/>
        <v/>
      </c>
    </row>
    <row r="181" spans="1:13" x14ac:dyDescent="0.25">
      <c r="A181" t="s">
        <v>223</v>
      </c>
      <c r="B181">
        <v>338</v>
      </c>
      <c r="C181">
        <v>34</v>
      </c>
      <c r="D181" s="13" t="str">
        <f>IFERROR(VLOOKUP(C181,[1]Sheet1!$A$1:$C$41,2,0),"Merchant Not Found")</f>
        <v>Merchant_034</v>
      </c>
      <c r="E181" s="7">
        <v>46024.993055555598</v>
      </c>
      <c r="F181">
        <v>49</v>
      </c>
      <c r="G181" s="8" t="s">
        <v>39</v>
      </c>
      <c r="H181" s="8" t="s">
        <v>40</v>
      </c>
      <c r="I181">
        <v>38</v>
      </c>
      <c r="J181" s="9">
        <f t="shared" si="4"/>
        <v>46024</v>
      </c>
      <c r="K181" s="10">
        <f>INDEX(Daily_Merchant_Pivot!$B$3:$AO$32,MATCH(J181,Daily_Merchant_Pivot!$A$3:$A$32,0),MATCH(C181,Daily_Merchant_Pivot!$B$2:$AO$2,0))</f>
        <v>548</v>
      </c>
      <c r="L181" s="3" t="str">
        <f>INDEX(Merchant_Region_Map!$D$3:$D$42,MATCH(C181,Merchant_Region_Map!$A$3:$A$42,0))</f>
        <v>South</v>
      </c>
      <c r="M181" s="11" t="str">
        <f t="shared" si="5"/>
        <v/>
      </c>
    </row>
    <row r="182" spans="1:13" x14ac:dyDescent="0.25">
      <c r="A182" t="s">
        <v>224</v>
      </c>
      <c r="B182">
        <v>252</v>
      </c>
      <c r="C182">
        <v>29</v>
      </c>
      <c r="D182" s="13" t="str">
        <f>IFERROR(VLOOKUP(C182,[1]Sheet1!$A$1:$C$41,2,0),"Merchant Not Found")</f>
        <v>Merchant_029</v>
      </c>
      <c r="E182" s="7">
        <v>46036.879166666702</v>
      </c>
      <c r="F182">
        <v>1499</v>
      </c>
      <c r="G182" s="8" t="s">
        <v>39</v>
      </c>
      <c r="H182" s="8" t="s">
        <v>40</v>
      </c>
      <c r="I182">
        <v>9</v>
      </c>
      <c r="J182" s="9">
        <f t="shared" si="4"/>
        <v>46036</v>
      </c>
      <c r="K182" s="10">
        <f>INDEX(Daily_Merchant_Pivot!$B$3:$AO$32,MATCH(J182,Daily_Merchant_Pivot!$A$3:$A$32,0),MATCH(C182,Daily_Merchant_Pivot!$B$2:$AO$2,0))</f>
        <v>1998</v>
      </c>
      <c r="L182" s="3" t="str">
        <f>INDEX(Merchant_Region_Map!$D$3:$D$42,MATCH(C182,Merchant_Region_Map!$A$3:$A$42,0))</f>
        <v>North</v>
      </c>
      <c r="M182" s="11" t="str">
        <f t="shared" si="5"/>
        <v/>
      </c>
    </row>
    <row r="183" spans="1:13" x14ac:dyDescent="0.25">
      <c r="A183" t="s">
        <v>225</v>
      </c>
      <c r="B183">
        <v>312</v>
      </c>
      <c r="C183">
        <v>10</v>
      </c>
      <c r="D183" s="13" t="str">
        <f>IFERROR(VLOOKUP(C183,[1]Sheet1!$A$1:$C$41,2,0),"Merchant Not Found")</f>
        <v>Merchant_010</v>
      </c>
      <c r="E183" s="7">
        <v>46051.097222222197</v>
      </c>
      <c r="F183">
        <v>799</v>
      </c>
      <c r="G183" s="8" t="s">
        <v>39</v>
      </c>
      <c r="H183" s="8" t="s">
        <v>40</v>
      </c>
      <c r="I183">
        <v>8</v>
      </c>
      <c r="J183" s="9">
        <f t="shared" si="4"/>
        <v>46051</v>
      </c>
      <c r="K183" s="10">
        <f>INDEX(Daily_Merchant_Pivot!$B$3:$AO$32,MATCH(J183,Daily_Merchant_Pivot!$A$3:$A$32,0),MATCH(C183,Daily_Merchant_Pivot!$B$2:$AO$2,0))</f>
        <v>799</v>
      </c>
      <c r="L183" s="3" t="str">
        <f>INDEX(Merchant_Region_Map!$D$3:$D$42,MATCH(C183,Merchant_Region_Map!$A$3:$A$42,0))</f>
        <v>West</v>
      </c>
      <c r="M183" s="11" t="str">
        <f t="shared" si="5"/>
        <v/>
      </c>
    </row>
    <row r="184" spans="1:13" x14ac:dyDescent="0.25">
      <c r="A184" t="s">
        <v>226</v>
      </c>
      <c r="B184">
        <v>325</v>
      </c>
      <c r="C184">
        <v>38</v>
      </c>
      <c r="D184" s="13" t="str">
        <f>IFERROR(VLOOKUP(C184,[1]Sheet1!$A$1:$C$41,2,0),"Merchant Not Found")</f>
        <v>Merchant_038</v>
      </c>
      <c r="E184" s="7">
        <v>46027.360416666699</v>
      </c>
      <c r="F184">
        <v>1499</v>
      </c>
      <c r="G184" s="8" t="s">
        <v>44</v>
      </c>
      <c r="H184" s="8" t="s">
        <v>40</v>
      </c>
      <c r="I184">
        <v>70</v>
      </c>
      <c r="J184" s="9">
        <f t="shared" si="4"/>
        <v>46027</v>
      </c>
      <c r="K184" s="10">
        <f>INDEX(Daily_Merchant_Pivot!$B$3:$AO$32,MATCH(J184,Daily_Merchant_Pivot!$A$3:$A$32,0),MATCH(C184,Daily_Merchant_Pivot!$B$2:$AO$2,0))</f>
        <v>1499</v>
      </c>
      <c r="L184" s="3" t="str">
        <f>INDEX(Merchant_Region_Map!$D$3:$D$42,MATCH(C184,Merchant_Region_Map!$A$3:$A$42,0))</f>
        <v>East</v>
      </c>
      <c r="M184" s="11" t="str">
        <f t="shared" si="5"/>
        <v/>
      </c>
    </row>
    <row r="185" spans="1:13" x14ac:dyDescent="0.25">
      <c r="A185" t="s">
        <v>227</v>
      </c>
      <c r="B185">
        <v>306</v>
      </c>
      <c r="C185">
        <v>34</v>
      </c>
      <c r="D185" s="13" t="str">
        <f>IFERROR(VLOOKUP(C185,[1]Sheet1!$A$1:$C$41,2,0),"Merchant Not Found")</f>
        <v>Merchant_034</v>
      </c>
      <c r="E185" s="7">
        <v>46045.433333333298</v>
      </c>
      <c r="F185">
        <v>2999</v>
      </c>
      <c r="G185" s="8" t="s">
        <v>39</v>
      </c>
      <c r="H185" s="8" t="s">
        <v>40</v>
      </c>
      <c r="I185">
        <v>37</v>
      </c>
      <c r="J185" s="9">
        <f t="shared" si="4"/>
        <v>46045</v>
      </c>
      <c r="K185" s="10">
        <f>INDEX(Daily_Merchant_Pivot!$B$3:$AO$32,MATCH(J185,Daily_Merchant_Pivot!$A$3:$A$32,0),MATCH(C185,Daily_Merchant_Pivot!$B$2:$AO$2,0))</f>
        <v>3148</v>
      </c>
      <c r="L185" s="3" t="str">
        <f>INDEX(Merchant_Region_Map!$D$3:$D$42,MATCH(C185,Merchant_Region_Map!$A$3:$A$42,0))</f>
        <v>South</v>
      </c>
      <c r="M185" s="11" t="str">
        <f t="shared" si="5"/>
        <v/>
      </c>
    </row>
    <row r="186" spans="1:13" x14ac:dyDescent="0.25">
      <c r="A186" t="s">
        <v>228</v>
      </c>
      <c r="B186">
        <v>221</v>
      </c>
      <c r="C186">
        <v>7</v>
      </c>
      <c r="D186" s="13" t="str">
        <f>IFERROR(VLOOKUP(C186,[1]Sheet1!$A$1:$C$41,2,0),"Merchant Not Found")</f>
        <v>Merchant_007</v>
      </c>
      <c r="E186" s="7">
        <v>46037.693055555603</v>
      </c>
      <c r="F186">
        <v>149</v>
      </c>
      <c r="G186" s="8" t="s">
        <v>44</v>
      </c>
      <c r="H186" s="8" t="s">
        <v>40</v>
      </c>
      <c r="I186">
        <v>89</v>
      </c>
      <c r="J186" s="9">
        <f t="shared" si="4"/>
        <v>46037</v>
      </c>
      <c r="K186" s="10">
        <f>INDEX(Daily_Merchant_Pivot!$B$3:$AO$32,MATCH(J186,Daily_Merchant_Pivot!$A$3:$A$32,0),MATCH(C186,Daily_Merchant_Pivot!$B$2:$AO$2,0))</f>
        <v>149</v>
      </c>
      <c r="L186" s="3" t="str">
        <f>INDEX(Merchant_Region_Map!$D$3:$D$42,MATCH(C186,Merchant_Region_Map!$A$3:$A$42,0))</f>
        <v>East</v>
      </c>
      <c r="M186" s="11" t="str">
        <f t="shared" si="5"/>
        <v/>
      </c>
    </row>
    <row r="187" spans="1:13" x14ac:dyDescent="0.25">
      <c r="A187" t="s">
        <v>229</v>
      </c>
      <c r="B187">
        <v>283</v>
      </c>
      <c r="C187">
        <v>14</v>
      </c>
      <c r="D187" s="13" t="str">
        <f>IFERROR(VLOOKUP(C187,[1]Sheet1!$A$1:$C$41,2,0),"Merchant Not Found")</f>
        <v>Merchant_014</v>
      </c>
      <c r="E187" s="7">
        <v>46026.8618055556</v>
      </c>
      <c r="F187">
        <v>99</v>
      </c>
      <c r="G187" s="8" t="s">
        <v>42</v>
      </c>
      <c r="H187" s="8" t="s">
        <v>40</v>
      </c>
      <c r="I187">
        <v>55</v>
      </c>
      <c r="J187" s="9">
        <f t="shared" si="4"/>
        <v>46026</v>
      </c>
      <c r="K187" s="10">
        <f>INDEX(Daily_Merchant_Pivot!$B$3:$AO$32,MATCH(J187,Daily_Merchant_Pivot!$A$3:$A$32,0),MATCH(C187,Daily_Merchant_Pivot!$B$2:$AO$2,0))</f>
        <v>99</v>
      </c>
      <c r="L187" s="3" t="str">
        <f>INDEX(Merchant_Region_Map!$D$3:$D$42,MATCH(C187,Merchant_Region_Map!$A$3:$A$42,0))</f>
        <v>East</v>
      </c>
      <c r="M187" s="11" t="str">
        <f t="shared" si="5"/>
        <v/>
      </c>
    </row>
    <row r="188" spans="1:13" x14ac:dyDescent="0.25">
      <c r="A188" t="s">
        <v>230</v>
      </c>
      <c r="B188">
        <v>174</v>
      </c>
      <c r="C188">
        <v>30</v>
      </c>
      <c r="D188" s="13" t="str">
        <f>IFERROR(VLOOKUP(C188,[1]Sheet1!$A$1:$C$41,2,0),"Merchant Not Found")</f>
        <v>Merchant_030</v>
      </c>
      <c r="E188" s="7">
        <v>46037.309722222199</v>
      </c>
      <c r="F188">
        <v>49</v>
      </c>
      <c r="G188" s="8" t="s">
        <v>39</v>
      </c>
      <c r="H188" s="8" t="s">
        <v>40</v>
      </c>
      <c r="I188">
        <v>51</v>
      </c>
      <c r="J188" s="9">
        <f t="shared" si="4"/>
        <v>46037</v>
      </c>
      <c r="K188" s="10">
        <f>INDEX(Daily_Merchant_Pivot!$B$3:$AO$32,MATCH(J188,Daily_Merchant_Pivot!$A$3:$A$32,0),MATCH(C188,Daily_Merchant_Pivot!$B$2:$AO$2,0))</f>
        <v>49</v>
      </c>
      <c r="L188" s="3" t="str">
        <f>INDEX(Merchant_Region_Map!$D$3:$D$42,MATCH(C188,Merchant_Region_Map!$A$3:$A$42,0))</f>
        <v>West</v>
      </c>
      <c r="M188" s="11" t="str">
        <f t="shared" si="5"/>
        <v/>
      </c>
    </row>
    <row r="189" spans="1:13" x14ac:dyDescent="0.25">
      <c r="A189" t="s">
        <v>231</v>
      </c>
      <c r="B189">
        <v>161</v>
      </c>
      <c r="C189">
        <v>28</v>
      </c>
      <c r="D189" s="13" t="str">
        <f>IFERROR(VLOOKUP(C189,[1]Sheet1!$A$1:$C$41,2,0),"Merchant Not Found")</f>
        <v>Merchant_028</v>
      </c>
      <c r="E189" s="7">
        <v>46036.962500000001</v>
      </c>
      <c r="F189">
        <v>49</v>
      </c>
      <c r="G189" s="8" t="s">
        <v>39</v>
      </c>
      <c r="H189" s="8" t="s">
        <v>40</v>
      </c>
      <c r="I189">
        <v>40</v>
      </c>
      <c r="J189" s="9">
        <f t="shared" si="4"/>
        <v>46036</v>
      </c>
      <c r="K189" s="10">
        <f>INDEX(Daily_Merchant_Pivot!$B$3:$AO$32,MATCH(J189,Daily_Merchant_Pivot!$A$3:$A$32,0),MATCH(C189,Daily_Merchant_Pivot!$B$2:$AO$2,0))</f>
        <v>49</v>
      </c>
      <c r="L189" s="3" t="str">
        <f>INDEX(Merchant_Region_Map!$D$3:$D$42,MATCH(C189,Merchant_Region_Map!$A$3:$A$42,0))</f>
        <v>South</v>
      </c>
      <c r="M189" s="11" t="str">
        <f t="shared" si="5"/>
        <v/>
      </c>
    </row>
    <row r="190" spans="1:13" x14ac:dyDescent="0.25">
      <c r="A190" t="s">
        <v>232</v>
      </c>
      <c r="B190">
        <v>79</v>
      </c>
      <c r="C190">
        <v>31</v>
      </c>
      <c r="D190" s="13" t="str">
        <f>IFERROR(VLOOKUP(C190,[1]Sheet1!$A$1:$C$41,2,0),"Merchant Not Found")</f>
        <v>Merchant_031</v>
      </c>
      <c r="E190" s="7">
        <v>46044.349305555603</v>
      </c>
      <c r="F190">
        <v>99</v>
      </c>
      <c r="G190" s="8" t="s">
        <v>39</v>
      </c>
      <c r="H190" s="8" t="s">
        <v>40</v>
      </c>
      <c r="I190">
        <v>8</v>
      </c>
      <c r="J190" s="9">
        <f t="shared" si="4"/>
        <v>46044</v>
      </c>
      <c r="K190" s="10">
        <f>INDEX(Daily_Merchant_Pivot!$B$3:$AO$32,MATCH(J190,Daily_Merchant_Pivot!$A$3:$A$32,0),MATCH(C190,Daily_Merchant_Pivot!$B$2:$AO$2,0))</f>
        <v>99</v>
      </c>
      <c r="L190" s="3" t="str">
        <f>INDEX(Merchant_Region_Map!$D$3:$D$42,MATCH(C190,Merchant_Region_Map!$A$3:$A$42,0))</f>
        <v>East</v>
      </c>
      <c r="M190" s="11" t="str">
        <f t="shared" si="5"/>
        <v/>
      </c>
    </row>
    <row r="191" spans="1:13" x14ac:dyDescent="0.25">
      <c r="A191" t="s">
        <v>233</v>
      </c>
      <c r="B191">
        <v>222</v>
      </c>
      <c r="C191">
        <v>7</v>
      </c>
      <c r="D191" s="13" t="str">
        <f>IFERROR(VLOOKUP(C191,[1]Sheet1!$A$1:$C$41,2,0),"Merchant Not Found")</f>
        <v>Merchant_007</v>
      </c>
      <c r="E191" s="7">
        <v>46025.086805555598</v>
      </c>
      <c r="F191">
        <v>149</v>
      </c>
      <c r="G191" s="8" t="s">
        <v>42</v>
      </c>
      <c r="H191" s="8" t="s">
        <v>40</v>
      </c>
      <c r="I191">
        <v>95</v>
      </c>
      <c r="J191" s="9">
        <f t="shared" si="4"/>
        <v>46025</v>
      </c>
      <c r="K191" s="10">
        <f>INDEX(Daily_Merchant_Pivot!$B$3:$AO$32,MATCH(J191,Daily_Merchant_Pivot!$A$3:$A$32,0),MATCH(C191,Daily_Merchant_Pivot!$B$2:$AO$2,0))</f>
        <v>149</v>
      </c>
      <c r="L191" s="3" t="str">
        <f>INDEX(Merchant_Region_Map!$D$3:$D$42,MATCH(C191,Merchant_Region_Map!$A$3:$A$42,0))</f>
        <v>East</v>
      </c>
      <c r="M191" s="11" t="str">
        <f t="shared" si="5"/>
        <v/>
      </c>
    </row>
    <row r="192" spans="1:13" x14ac:dyDescent="0.25">
      <c r="A192" t="s">
        <v>234</v>
      </c>
      <c r="B192">
        <v>67</v>
      </c>
      <c r="C192">
        <v>36</v>
      </c>
      <c r="D192" s="13" t="str">
        <f>IFERROR(VLOOKUP(C192,[1]Sheet1!$A$1:$C$41,2,0),"Merchant Not Found")</f>
        <v>Merchant_036</v>
      </c>
      <c r="E192" s="7">
        <v>46046.493750000001</v>
      </c>
      <c r="F192">
        <v>99</v>
      </c>
      <c r="G192" s="8" t="s">
        <v>39</v>
      </c>
      <c r="H192" s="8" t="s">
        <v>40</v>
      </c>
      <c r="I192">
        <v>7</v>
      </c>
      <c r="J192" s="9">
        <f t="shared" si="4"/>
        <v>46046</v>
      </c>
      <c r="K192" s="10">
        <f>INDEX(Daily_Merchant_Pivot!$B$3:$AO$32,MATCH(J192,Daily_Merchant_Pivot!$A$3:$A$32,0),MATCH(C192,Daily_Merchant_Pivot!$B$2:$AO$2,0))</f>
        <v>1647</v>
      </c>
      <c r="L192" s="3" t="str">
        <f>INDEX(Merchant_Region_Map!$D$3:$D$42,MATCH(C192,Merchant_Region_Map!$A$3:$A$42,0))</f>
        <v>East</v>
      </c>
      <c r="M192" s="11" t="str">
        <f t="shared" si="5"/>
        <v/>
      </c>
    </row>
    <row r="193" spans="1:13" x14ac:dyDescent="0.25">
      <c r="A193" t="s">
        <v>235</v>
      </c>
      <c r="B193">
        <v>169</v>
      </c>
      <c r="C193">
        <v>8</v>
      </c>
      <c r="D193" s="13" t="str">
        <f>IFERROR(VLOOKUP(C193,[1]Sheet1!$A$1:$C$41,2,0),"Merchant Not Found")</f>
        <v>Merchant_008</v>
      </c>
      <c r="E193" s="7">
        <v>46041.732638888898</v>
      </c>
      <c r="F193">
        <v>99</v>
      </c>
      <c r="G193" s="8" t="s">
        <v>39</v>
      </c>
      <c r="H193" s="8" t="s">
        <v>40</v>
      </c>
      <c r="I193">
        <v>52</v>
      </c>
      <c r="J193" s="9">
        <f t="shared" si="4"/>
        <v>46041</v>
      </c>
      <c r="K193" s="10">
        <f>INDEX(Daily_Merchant_Pivot!$B$3:$AO$32,MATCH(J193,Daily_Merchant_Pivot!$A$3:$A$32,0),MATCH(C193,Daily_Merchant_Pivot!$B$2:$AO$2,0))</f>
        <v>99</v>
      </c>
      <c r="L193" s="3" t="str">
        <f>INDEX(Merchant_Region_Map!$D$3:$D$42,MATCH(C193,Merchant_Region_Map!$A$3:$A$42,0))</f>
        <v>North</v>
      </c>
      <c r="M193" s="11" t="str">
        <f t="shared" si="5"/>
        <v/>
      </c>
    </row>
    <row r="194" spans="1:13" x14ac:dyDescent="0.25">
      <c r="A194" t="s">
        <v>236</v>
      </c>
      <c r="B194">
        <v>217</v>
      </c>
      <c r="C194">
        <v>4</v>
      </c>
      <c r="D194" s="13" t="str">
        <f>IFERROR(VLOOKUP(C194,[1]Sheet1!$A$1:$C$41,2,0),"Merchant Not Found")</f>
        <v>Merchant_004</v>
      </c>
      <c r="E194" s="7">
        <v>46034.908333333296</v>
      </c>
      <c r="F194">
        <v>49</v>
      </c>
      <c r="G194" s="8" t="s">
        <v>39</v>
      </c>
      <c r="H194" s="8" t="s">
        <v>40</v>
      </c>
      <c r="I194">
        <v>36</v>
      </c>
      <c r="J194" s="9">
        <f t="shared" si="4"/>
        <v>46034</v>
      </c>
      <c r="K194" s="10">
        <f>INDEX(Daily_Merchant_Pivot!$B$3:$AO$32,MATCH(J194,Daily_Merchant_Pivot!$A$3:$A$32,0),MATCH(C194,Daily_Merchant_Pivot!$B$2:$AO$2,0))</f>
        <v>49</v>
      </c>
      <c r="L194" s="3" t="str">
        <f>INDEX(Merchant_Region_Map!$D$3:$D$42,MATCH(C194,Merchant_Region_Map!$A$3:$A$42,0))</f>
        <v>East</v>
      </c>
      <c r="M194" s="11" t="str">
        <f t="shared" si="5"/>
        <v/>
      </c>
    </row>
    <row r="195" spans="1:13" x14ac:dyDescent="0.25">
      <c r="A195" t="s">
        <v>237</v>
      </c>
      <c r="B195">
        <v>54</v>
      </c>
      <c r="C195">
        <v>37</v>
      </c>
      <c r="D195" s="13" t="str">
        <f>IFERROR(VLOOKUP(C195,[1]Sheet1!$A$1:$C$41,2,0),"Merchant Not Found")</f>
        <v>Merchant_037</v>
      </c>
      <c r="E195" s="7">
        <v>46042.390277777798</v>
      </c>
      <c r="F195">
        <v>149</v>
      </c>
      <c r="G195" s="8" t="s">
        <v>39</v>
      </c>
      <c r="H195" s="8" t="s">
        <v>40</v>
      </c>
      <c r="I195">
        <v>64</v>
      </c>
      <c r="J195" s="9">
        <f t="shared" ref="J195:J258" si="6">INT(E195)</f>
        <v>46042</v>
      </c>
      <c r="K195" s="10">
        <f>INDEX(Daily_Merchant_Pivot!$B$3:$AO$32,MATCH(J195,Daily_Merchant_Pivot!$A$3:$A$32,0),MATCH(C195,Daily_Merchant_Pivot!$B$2:$AO$2,0))</f>
        <v>149</v>
      </c>
      <c r="L195" s="3" t="str">
        <f>INDEX(Merchant_Region_Map!$D$3:$D$42,MATCH(C195,Merchant_Region_Map!$A$3:$A$42,0))</f>
        <v>South</v>
      </c>
      <c r="M195" s="11" t="str">
        <f t="shared" ref="M195:M258" si="7">IF(AND(K195&gt;5000,L195&lt;&gt;"East"),"High-Value Merchant Day","")</f>
        <v/>
      </c>
    </row>
    <row r="196" spans="1:13" x14ac:dyDescent="0.25">
      <c r="A196" t="s">
        <v>238</v>
      </c>
      <c r="B196">
        <v>247</v>
      </c>
      <c r="C196">
        <v>15</v>
      </c>
      <c r="D196" s="13" t="str">
        <f>IFERROR(VLOOKUP(C196,[1]Sheet1!$A$1:$C$41,2,0),"Merchant Not Found")</f>
        <v>Merchant_015</v>
      </c>
      <c r="E196" s="7">
        <v>46029.195833333302</v>
      </c>
      <c r="F196">
        <v>49</v>
      </c>
      <c r="G196" s="8" t="s">
        <v>52</v>
      </c>
      <c r="H196" s="8" t="s">
        <v>40</v>
      </c>
      <c r="I196">
        <v>13</v>
      </c>
      <c r="J196" s="9">
        <f t="shared" si="6"/>
        <v>46029</v>
      </c>
      <c r="K196" s="10">
        <f>INDEX(Daily_Merchant_Pivot!$B$3:$AO$32,MATCH(J196,Daily_Merchant_Pivot!$A$3:$A$32,0),MATCH(C196,Daily_Merchant_Pivot!$B$2:$AO$2,0))</f>
        <v>49</v>
      </c>
      <c r="L196" s="3" t="str">
        <f>INDEX(Merchant_Region_Map!$D$3:$D$42,MATCH(C196,Merchant_Region_Map!$A$3:$A$42,0))</f>
        <v>North</v>
      </c>
      <c r="M196" s="11" t="str">
        <f t="shared" si="7"/>
        <v/>
      </c>
    </row>
    <row r="197" spans="1:13" x14ac:dyDescent="0.25">
      <c r="A197" t="s">
        <v>239</v>
      </c>
      <c r="B197">
        <v>59</v>
      </c>
      <c r="C197">
        <v>18</v>
      </c>
      <c r="D197" s="13" t="str">
        <f>IFERROR(VLOOKUP(C197,[1]Sheet1!$A$1:$C$41,2,0),"Merchant Not Found")</f>
        <v>Merchant_018</v>
      </c>
      <c r="E197" s="7">
        <v>46034.724305555603</v>
      </c>
      <c r="F197">
        <v>-51</v>
      </c>
      <c r="G197" s="8" t="s">
        <v>52</v>
      </c>
      <c r="H197" s="8" t="s">
        <v>40</v>
      </c>
      <c r="I197">
        <v>73</v>
      </c>
      <c r="J197" s="9">
        <f t="shared" si="6"/>
        <v>46034</v>
      </c>
      <c r="K197" s="10">
        <f>INDEX(Daily_Merchant_Pivot!$B$3:$AO$32,MATCH(J197,Daily_Merchant_Pivot!$A$3:$A$32,0),MATCH(C197,Daily_Merchant_Pivot!$B$2:$AO$2,0))</f>
        <v>-51</v>
      </c>
      <c r="L197" s="3" t="str">
        <f>INDEX(Merchant_Region_Map!$D$3:$D$42,MATCH(C197,Merchant_Region_Map!$A$3:$A$42,0))</f>
        <v>West</v>
      </c>
      <c r="M197" s="11" t="str">
        <f t="shared" si="7"/>
        <v/>
      </c>
    </row>
    <row r="198" spans="1:13" x14ac:dyDescent="0.25">
      <c r="A198" t="s">
        <v>240</v>
      </c>
      <c r="B198">
        <v>288</v>
      </c>
      <c r="C198">
        <v>40</v>
      </c>
      <c r="D198" s="13" t="str">
        <f>IFERROR(VLOOKUP(C198,[1]Sheet1!$A$1:$C$41,2,0),"Merchant Not Found")</f>
        <v>Merchant_040</v>
      </c>
      <c r="E198" s="7">
        <v>46030.579166666699</v>
      </c>
      <c r="F198">
        <v>49</v>
      </c>
      <c r="G198" s="8" t="s">
        <v>39</v>
      </c>
      <c r="H198" s="8" t="s">
        <v>53</v>
      </c>
      <c r="I198">
        <v>78</v>
      </c>
      <c r="J198" s="9">
        <f t="shared" si="6"/>
        <v>46030</v>
      </c>
      <c r="K198" s="10">
        <f>INDEX(Daily_Merchant_Pivot!$B$3:$AO$32,MATCH(J198,Daily_Merchant_Pivot!$A$3:$A$32,0),MATCH(C198,Daily_Merchant_Pivot!$B$2:$AO$2,0))</f>
        <v>0</v>
      </c>
      <c r="L198" s="3" t="str">
        <f>INDEX(Merchant_Region_Map!$D$3:$D$42,MATCH(C198,Merchant_Region_Map!$A$3:$A$42,0))</f>
        <v>South</v>
      </c>
      <c r="M198" s="11" t="str">
        <f t="shared" si="7"/>
        <v/>
      </c>
    </row>
    <row r="199" spans="1:13" x14ac:dyDescent="0.25">
      <c r="A199" t="s">
        <v>241</v>
      </c>
      <c r="B199">
        <v>14</v>
      </c>
      <c r="C199">
        <v>39</v>
      </c>
      <c r="D199" s="13" t="str">
        <f>IFERROR(VLOOKUP(C199,[1]Sheet1!$A$1:$C$41,2,0),"Merchant Not Found")</f>
        <v>Merchant_039</v>
      </c>
      <c r="E199" s="7">
        <v>46044.857638888898</v>
      </c>
      <c r="F199">
        <v>799</v>
      </c>
      <c r="G199" s="8" t="s">
        <v>39</v>
      </c>
      <c r="H199" s="8" t="s">
        <v>40</v>
      </c>
      <c r="I199">
        <v>84</v>
      </c>
      <c r="J199" s="9">
        <f t="shared" si="6"/>
        <v>46044</v>
      </c>
      <c r="K199" s="10">
        <f>INDEX(Daily_Merchant_Pivot!$B$3:$AO$32,MATCH(J199,Daily_Merchant_Pivot!$A$3:$A$32,0),MATCH(C199,Daily_Merchant_Pivot!$B$2:$AO$2,0))</f>
        <v>799</v>
      </c>
      <c r="L199" s="3" t="str">
        <f>INDEX(Merchant_Region_Map!$D$3:$D$42,MATCH(C199,Merchant_Region_Map!$A$3:$A$42,0))</f>
        <v>North</v>
      </c>
      <c r="M199" s="11" t="str">
        <f t="shared" si="7"/>
        <v/>
      </c>
    </row>
    <row r="200" spans="1:13" x14ac:dyDescent="0.25">
      <c r="A200" t="s">
        <v>242</v>
      </c>
      <c r="B200">
        <v>15</v>
      </c>
      <c r="C200">
        <v>12</v>
      </c>
      <c r="D200" s="13" t="str">
        <f>IFERROR(VLOOKUP(C200,[1]Sheet1!$A$1:$C$41,2,0),"Merchant Not Found")</f>
        <v>Merchant_012</v>
      </c>
      <c r="E200" s="7">
        <v>46049.9284722222</v>
      </c>
      <c r="F200">
        <v>149</v>
      </c>
      <c r="G200" s="8" t="s">
        <v>39</v>
      </c>
      <c r="H200" s="8" t="s">
        <v>40</v>
      </c>
      <c r="I200">
        <v>34</v>
      </c>
      <c r="J200" s="9">
        <f t="shared" si="6"/>
        <v>46049</v>
      </c>
      <c r="K200" s="10">
        <f>INDEX(Daily_Merchant_Pivot!$B$3:$AO$32,MATCH(J200,Daily_Merchant_Pivot!$A$3:$A$32,0),MATCH(C200,Daily_Merchant_Pivot!$B$2:$AO$2,0))</f>
        <v>149</v>
      </c>
      <c r="L200" s="3" t="str">
        <f>INDEX(Merchant_Region_Map!$D$3:$D$42,MATCH(C200,Merchant_Region_Map!$A$3:$A$42,0))</f>
        <v>East</v>
      </c>
      <c r="M200" s="11" t="str">
        <f t="shared" si="7"/>
        <v/>
      </c>
    </row>
    <row r="201" spans="1:13" x14ac:dyDescent="0.25">
      <c r="A201" t="s">
        <v>243</v>
      </c>
      <c r="B201">
        <v>174</v>
      </c>
      <c r="C201">
        <v>23</v>
      </c>
      <c r="D201" s="13" t="str">
        <f>IFERROR(VLOOKUP(C201,[1]Sheet1!$A$1:$C$41,2,0),"Merchant Not Found")</f>
        <v>Merchant_023</v>
      </c>
      <c r="E201" s="7">
        <v>46045.4152777778</v>
      </c>
      <c r="F201">
        <v>149</v>
      </c>
      <c r="G201" s="8" t="s">
        <v>39</v>
      </c>
      <c r="H201" s="8" t="s">
        <v>40</v>
      </c>
      <c r="I201">
        <v>0</v>
      </c>
      <c r="J201" s="9">
        <f t="shared" si="6"/>
        <v>46045</v>
      </c>
      <c r="K201" s="10">
        <f>INDEX(Daily_Merchant_Pivot!$B$3:$AO$32,MATCH(J201,Daily_Merchant_Pivot!$A$3:$A$32,0),MATCH(C201,Daily_Merchant_Pivot!$B$2:$AO$2,0))</f>
        <v>247</v>
      </c>
      <c r="L201" s="3" t="str">
        <f>INDEX(Merchant_Region_Map!$D$3:$D$42,MATCH(C201,Merchant_Region_Map!$A$3:$A$42,0))</f>
        <v>North</v>
      </c>
      <c r="M201" s="11" t="str">
        <f t="shared" si="7"/>
        <v/>
      </c>
    </row>
    <row r="202" spans="1:13" x14ac:dyDescent="0.25">
      <c r="A202" t="s">
        <v>244</v>
      </c>
      <c r="B202">
        <v>337</v>
      </c>
      <c r="C202">
        <v>26</v>
      </c>
      <c r="D202" s="13" t="str">
        <f>IFERROR(VLOOKUP(C202,[1]Sheet1!$A$1:$C$41,2,0),"Merchant Not Found")</f>
        <v>Merchant_026</v>
      </c>
      <c r="E202" s="7">
        <v>46028.191666666702</v>
      </c>
      <c r="F202">
        <v>49</v>
      </c>
      <c r="G202" s="8" t="s">
        <v>39</v>
      </c>
      <c r="H202" s="8" t="s">
        <v>40</v>
      </c>
      <c r="I202">
        <v>8</v>
      </c>
      <c r="J202" s="9">
        <f t="shared" si="6"/>
        <v>46028</v>
      </c>
      <c r="K202" s="10">
        <f>INDEX(Daily_Merchant_Pivot!$B$3:$AO$32,MATCH(J202,Daily_Merchant_Pivot!$A$3:$A$32,0),MATCH(C202,Daily_Merchant_Pivot!$B$2:$AO$2,0))</f>
        <v>49</v>
      </c>
      <c r="L202" s="3" t="str">
        <f>INDEX(Merchant_Region_Map!$D$3:$D$42,MATCH(C202,Merchant_Region_Map!$A$3:$A$42,0))</f>
        <v>East</v>
      </c>
      <c r="M202" s="11" t="str">
        <f t="shared" si="7"/>
        <v/>
      </c>
    </row>
    <row r="203" spans="1:13" x14ac:dyDescent="0.25">
      <c r="A203" t="s">
        <v>245</v>
      </c>
      <c r="B203">
        <v>16</v>
      </c>
      <c r="C203">
        <v>6</v>
      </c>
      <c r="D203" s="13" t="str">
        <f>IFERROR(VLOOKUP(C203,[1]Sheet1!$A$1:$C$41,2,0),"Merchant Not Found")</f>
        <v>Merchant_006</v>
      </c>
      <c r="E203" s="7">
        <v>46027.986111111102</v>
      </c>
      <c r="F203">
        <v>1499</v>
      </c>
      <c r="G203" s="8" t="s">
        <v>39</v>
      </c>
      <c r="H203" s="8" t="s">
        <v>40</v>
      </c>
      <c r="I203">
        <v>95</v>
      </c>
      <c r="J203" s="9">
        <f t="shared" si="6"/>
        <v>46027</v>
      </c>
      <c r="K203" s="10">
        <f>INDEX(Daily_Merchant_Pivot!$B$3:$AO$32,MATCH(J203,Daily_Merchant_Pivot!$A$3:$A$32,0),MATCH(C203,Daily_Merchant_Pivot!$B$2:$AO$2,0))</f>
        <v>1499</v>
      </c>
      <c r="L203" s="3" t="str">
        <f>INDEX(Merchant_Region_Map!$D$3:$D$42,MATCH(C203,Merchant_Region_Map!$A$3:$A$42,0))</f>
        <v>South</v>
      </c>
      <c r="M203" s="11" t="str">
        <f t="shared" si="7"/>
        <v/>
      </c>
    </row>
    <row r="204" spans="1:13" x14ac:dyDescent="0.25">
      <c r="A204" t="s">
        <v>246</v>
      </c>
      <c r="B204">
        <v>215</v>
      </c>
      <c r="C204">
        <v>30</v>
      </c>
      <c r="D204" s="13" t="str">
        <f>IFERROR(VLOOKUP(C204,[1]Sheet1!$A$1:$C$41,2,0),"Merchant Not Found")</f>
        <v>Merchant_030</v>
      </c>
      <c r="E204" s="7">
        <v>46039.266666666699</v>
      </c>
      <c r="F204">
        <v>49</v>
      </c>
      <c r="G204" s="8" t="s">
        <v>39</v>
      </c>
      <c r="H204" s="8" t="s">
        <v>40</v>
      </c>
      <c r="I204">
        <v>43</v>
      </c>
      <c r="J204" s="9">
        <f t="shared" si="6"/>
        <v>46039</v>
      </c>
      <c r="K204" s="10">
        <f>INDEX(Daily_Merchant_Pivot!$B$3:$AO$32,MATCH(J204,Daily_Merchant_Pivot!$A$3:$A$32,0),MATCH(C204,Daily_Merchant_Pivot!$B$2:$AO$2,0))</f>
        <v>49</v>
      </c>
      <c r="L204" s="3" t="str">
        <f>INDEX(Merchant_Region_Map!$D$3:$D$42,MATCH(C204,Merchant_Region_Map!$A$3:$A$42,0))</f>
        <v>West</v>
      </c>
      <c r="M204" s="11" t="str">
        <f t="shared" si="7"/>
        <v/>
      </c>
    </row>
    <row r="205" spans="1:13" x14ac:dyDescent="0.25">
      <c r="A205" t="s">
        <v>247</v>
      </c>
      <c r="B205">
        <v>81</v>
      </c>
      <c r="C205">
        <v>40</v>
      </c>
      <c r="D205" s="13" t="str">
        <f>IFERROR(VLOOKUP(C205,[1]Sheet1!$A$1:$C$41,2,0),"Merchant Not Found")</f>
        <v>Merchant_040</v>
      </c>
      <c r="E205" s="7">
        <v>46025.047916666699</v>
      </c>
      <c r="F205">
        <v>49</v>
      </c>
      <c r="G205" s="8" t="s">
        <v>39</v>
      </c>
      <c r="H205" s="8" t="s">
        <v>40</v>
      </c>
      <c r="I205">
        <v>6</v>
      </c>
      <c r="J205" s="9">
        <f t="shared" si="6"/>
        <v>46025</v>
      </c>
      <c r="K205" s="10">
        <f>INDEX(Daily_Merchant_Pivot!$B$3:$AO$32,MATCH(J205,Daily_Merchant_Pivot!$A$3:$A$32,0),MATCH(C205,Daily_Merchant_Pivot!$B$2:$AO$2,0))</f>
        <v>49</v>
      </c>
      <c r="L205" s="3" t="str">
        <f>INDEX(Merchant_Region_Map!$D$3:$D$42,MATCH(C205,Merchant_Region_Map!$A$3:$A$42,0))</f>
        <v>South</v>
      </c>
      <c r="M205" s="11" t="str">
        <f t="shared" si="7"/>
        <v/>
      </c>
    </row>
    <row r="206" spans="1:13" x14ac:dyDescent="0.25">
      <c r="A206" t="s">
        <v>248</v>
      </c>
      <c r="B206">
        <v>227</v>
      </c>
      <c r="C206">
        <v>28</v>
      </c>
      <c r="D206" s="13" t="str">
        <f>IFERROR(VLOOKUP(C206,[1]Sheet1!$A$1:$C$41,2,0),"Merchant Not Found")</f>
        <v>Merchant_028</v>
      </c>
      <c r="E206" s="7">
        <v>46044.095138888901</v>
      </c>
      <c r="F206">
        <v>99</v>
      </c>
      <c r="G206" s="8" t="s">
        <v>39</v>
      </c>
      <c r="H206" s="8" t="s">
        <v>40</v>
      </c>
      <c r="I206">
        <v>62</v>
      </c>
      <c r="J206" s="9">
        <f t="shared" si="6"/>
        <v>46044</v>
      </c>
      <c r="K206" s="10">
        <f>INDEX(Daily_Merchant_Pivot!$B$3:$AO$32,MATCH(J206,Daily_Merchant_Pivot!$A$3:$A$32,0),MATCH(C206,Daily_Merchant_Pivot!$B$2:$AO$2,0))</f>
        <v>99</v>
      </c>
      <c r="L206" s="3" t="str">
        <f>INDEX(Merchant_Region_Map!$D$3:$D$42,MATCH(C206,Merchant_Region_Map!$A$3:$A$42,0))</f>
        <v>South</v>
      </c>
      <c r="M206" s="11" t="str">
        <f t="shared" si="7"/>
        <v/>
      </c>
    </row>
    <row r="207" spans="1:13" x14ac:dyDescent="0.25">
      <c r="A207" t="s">
        <v>249</v>
      </c>
      <c r="B207">
        <v>140</v>
      </c>
      <c r="C207">
        <v>14</v>
      </c>
      <c r="D207" s="13" t="str">
        <f>IFERROR(VLOOKUP(C207,[1]Sheet1!$A$1:$C$41,2,0),"Merchant Not Found")</f>
        <v>Merchant_014</v>
      </c>
      <c r="E207" s="7">
        <v>46042.601388888899</v>
      </c>
      <c r="F207">
        <v>299</v>
      </c>
      <c r="G207" s="8" t="s">
        <v>42</v>
      </c>
      <c r="H207" s="8" t="s">
        <v>53</v>
      </c>
      <c r="I207">
        <v>96</v>
      </c>
      <c r="J207" s="9">
        <f t="shared" si="6"/>
        <v>46042</v>
      </c>
      <c r="K207" s="10">
        <f>INDEX(Daily_Merchant_Pivot!$B$3:$AO$32,MATCH(J207,Daily_Merchant_Pivot!$A$3:$A$32,0),MATCH(C207,Daily_Merchant_Pivot!$B$2:$AO$2,0))</f>
        <v>0</v>
      </c>
      <c r="L207" s="3" t="str">
        <f>INDEX(Merchant_Region_Map!$D$3:$D$42,MATCH(C207,Merchant_Region_Map!$A$3:$A$42,0))</f>
        <v>East</v>
      </c>
      <c r="M207" s="11" t="str">
        <f t="shared" si="7"/>
        <v/>
      </c>
    </row>
    <row r="208" spans="1:13" x14ac:dyDescent="0.25">
      <c r="A208" t="s">
        <v>250</v>
      </c>
      <c r="B208">
        <v>221</v>
      </c>
      <c r="C208">
        <v>8</v>
      </c>
      <c r="D208" s="13" t="str">
        <f>IFERROR(VLOOKUP(C208,[1]Sheet1!$A$1:$C$41,2,0),"Merchant Not Found")</f>
        <v>Merchant_008</v>
      </c>
      <c r="E208" s="7">
        <v>46039.140277777798</v>
      </c>
      <c r="F208">
        <v>299</v>
      </c>
      <c r="G208" s="8" t="s">
        <v>39</v>
      </c>
      <c r="H208" s="8" t="s">
        <v>40</v>
      </c>
      <c r="I208">
        <v>36</v>
      </c>
      <c r="J208" s="9">
        <f t="shared" si="6"/>
        <v>46039</v>
      </c>
      <c r="K208" s="10">
        <f>INDEX(Daily_Merchant_Pivot!$B$3:$AO$32,MATCH(J208,Daily_Merchant_Pivot!$A$3:$A$32,0),MATCH(C208,Daily_Merchant_Pivot!$B$2:$AO$2,0))</f>
        <v>348</v>
      </c>
      <c r="L208" s="3" t="str">
        <f>INDEX(Merchant_Region_Map!$D$3:$D$42,MATCH(C208,Merchant_Region_Map!$A$3:$A$42,0))</f>
        <v>North</v>
      </c>
      <c r="M208" s="11" t="str">
        <f t="shared" si="7"/>
        <v/>
      </c>
    </row>
    <row r="209" spans="1:13" x14ac:dyDescent="0.25">
      <c r="A209" t="s">
        <v>251</v>
      </c>
      <c r="B209">
        <v>250</v>
      </c>
      <c r="C209">
        <v>34</v>
      </c>
      <c r="D209" s="13" t="str">
        <f>IFERROR(VLOOKUP(C209,[1]Sheet1!$A$1:$C$41,2,0),"Merchant Not Found")</f>
        <v>Merchant_034</v>
      </c>
      <c r="E209" s="7">
        <v>46044.900694444397</v>
      </c>
      <c r="F209">
        <v>299</v>
      </c>
      <c r="G209" s="8" t="s">
        <v>42</v>
      </c>
      <c r="H209" s="8" t="s">
        <v>40</v>
      </c>
      <c r="I209">
        <v>85</v>
      </c>
      <c r="J209" s="9">
        <f t="shared" si="6"/>
        <v>46044</v>
      </c>
      <c r="K209" s="10">
        <f>INDEX(Daily_Merchant_Pivot!$B$3:$AO$32,MATCH(J209,Daily_Merchant_Pivot!$A$3:$A$32,0),MATCH(C209,Daily_Merchant_Pivot!$B$2:$AO$2,0))</f>
        <v>299</v>
      </c>
      <c r="L209" s="3" t="str">
        <f>INDEX(Merchant_Region_Map!$D$3:$D$42,MATCH(C209,Merchant_Region_Map!$A$3:$A$42,0))</f>
        <v>South</v>
      </c>
      <c r="M209" s="11" t="str">
        <f t="shared" si="7"/>
        <v/>
      </c>
    </row>
    <row r="210" spans="1:13" x14ac:dyDescent="0.25">
      <c r="A210" t="s">
        <v>252</v>
      </c>
      <c r="B210">
        <v>203</v>
      </c>
      <c r="C210">
        <v>39</v>
      </c>
      <c r="D210" s="13" t="str">
        <f>IFERROR(VLOOKUP(C210,[1]Sheet1!$A$1:$C$41,2,0),"Merchant Not Found")</f>
        <v>Merchant_039</v>
      </c>
      <c r="E210" s="7">
        <v>46032.051388888904</v>
      </c>
      <c r="F210">
        <v>-1</v>
      </c>
      <c r="G210" s="8" t="s">
        <v>39</v>
      </c>
      <c r="H210" s="8" t="s">
        <v>40</v>
      </c>
      <c r="I210">
        <v>7</v>
      </c>
      <c r="J210" s="9">
        <f t="shared" si="6"/>
        <v>46032</v>
      </c>
      <c r="K210" s="10">
        <f>INDEX(Daily_Merchant_Pivot!$B$3:$AO$32,MATCH(J210,Daily_Merchant_Pivot!$A$3:$A$32,0),MATCH(C210,Daily_Merchant_Pivot!$B$2:$AO$2,0))</f>
        <v>-1</v>
      </c>
      <c r="L210" s="3" t="str">
        <f>INDEX(Merchant_Region_Map!$D$3:$D$42,MATCH(C210,Merchant_Region_Map!$A$3:$A$42,0))</f>
        <v>North</v>
      </c>
      <c r="M210" s="11" t="str">
        <f t="shared" si="7"/>
        <v/>
      </c>
    </row>
    <row r="211" spans="1:13" x14ac:dyDescent="0.25">
      <c r="A211" t="s">
        <v>253</v>
      </c>
      <c r="B211">
        <v>109</v>
      </c>
      <c r="C211">
        <v>9</v>
      </c>
      <c r="D211" s="13" t="str">
        <f>IFERROR(VLOOKUP(C211,[1]Sheet1!$A$1:$C$41,2,0),"Merchant Not Found")</f>
        <v>Merchant_009</v>
      </c>
      <c r="E211" s="7">
        <v>46023.2631944444</v>
      </c>
      <c r="F211">
        <v>499</v>
      </c>
      <c r="G211" s="8" t="s">
        <v>42</v>
      </c>
      <c r="H211" s="8" t="s">
        <v>40</v>
      </c>
      <c r="I211">
        <v>97</v>
      </c>
      <c r="J211" s="9">
        <f t="shared" si="6"/>
        <v>46023</v>
      </c>
      <c r="K211" s="10">
        <f>INDEX(Daily_Merchant_Pivot!$B$3:$AO$32,MATCH(J211,Daily_Merchant_Pivot!$A$3:$A$32,0),MATCH(C211,Daily_Merchant_Pivot!$B$2:$AO$2,0))</f>
        <v>499</v>
      </c>
      <c r="L211" s="3" t="str">
        <f>INDEX(Merchant_Region_Map!$D$3:$D$42,MATCH(C211,Merchant_Region_Map!$A$3:$A$42,0))</f>
        <v>North</v>
      </c>
      <c r="M211" s="11" t="str">
        <f t="shared" si="7"/>
        <v/>
      </c>
    </row>
    <row r="212" spans="1:13" x14ac:dyDescent="0.25">
      <c r="A212" t="s">
        <v>254</v>
      </c>
      <c r="B212">
        <v>62</v>
      </c>
      <c r="C212">
        <v>1</v>
      </c>
      <c r="D212" s="13" t="str">
        <f>IFERROR(VLOOKUP(C212,[1]Sheet1!$A$1:$C$41,2,0),"Merchant Not Found")</f>
        <v>Merchant_001</v>
      </c>
      <c r="E212" s="7">
        <v>46031.388888888898</v>
      </c>
      <c r="F212">
        <v>4999</v>
      </c>
      <c r="G212" s="8" t="s">
        <v>42</v>
      </c>
      <c r="H212" s="8" t="s">
        <v>40</v>
      </c>
      <c r="I212">
        <v>63</v>
      </c>
      <c r="J212" s="9">
        <f t="shared" si="6"/>
        <v>46031</v>
      </c>
      <c r="K212" s="10">
        <f>INDEX(Daily_Merchant_Pivot!$B$3:$AO$32,MATCH(J212,Daily_Merchant_Pivot!$A$3:$A$32,0),MATCH(C212,Daily_Merchant_Pivot!$B$2:$AO$2,0))</f>
        <v>5048</v>
      </c>
      <c r="L212" s="3" t="str">
        <f>INDEX(Merchant_Region_Map!$D$3:$D$42,MATCH(C212,Merchant_Region_Map!$A$3:$A$42,0))</f>
        <v>South</v>
      </c>
      <c r="M212" s="11" t="str">
        <f t="shared" si="7"/>
        <v>High-Value Merchant Day</v>
      </c>
    </row>
    <row r="213" spans="1:13" x14ac:dyDescent="0.25">
      <c r="A213" t="s">
        <v>255</v>
      </c>
      <c r="B213">
        <v>67</v>
      </c>
      <c r="C213">
        <v>25</v>
      </c>
      <c r="D213" s="13" t="str">
        <f>IFERROR(VLOOKUP(C213,[1]Sheet1!$A$1:$C$41,2,0),"Merchant Not Found")</f>
        <v>Merchant_025</v>
      </c>
      <c r="E213" s="7">
        <v>46046.5493055556</v>
      </c>
      <c r="F213">
        <v>49</v>
      </c>
      <c r="G213" s="8" t="s">
        <v>39</v>
      </c>
      <c r="H213" s="8" t="s">
        <v>40</v>
      </c>
      <c r="I213">
        <v>68</v>
      </c>
      <c r="J213" s="9">
        <f t="shared" si="6"/>
        <v>46046</v>
      </c>
      <c r="K213" s="10">
        <f>INDEX(Daily_Merchant_Pivot!$B$3:$AO$32,MATCH(J213,Daily_Merchant_Pivot!$A$3:$A$32,0),MATCH(C213,Daily_Merchant_Pivot!$B$2:$AO$2,0))</f>
        <v>497</v>
      </c>
      <c r="L213" s="3" t="str">
        <f>INDEX(Merchant_Region_Map!$D$3:$D$42,MATCH(C213,Merchant_Region_Map!$A$3:$A$42,0))</f>
        <v>South</v>
      </c>
      <c r="M213" s="11" t="str">
        <f t="shared" si="7"/>
        <v/>
      </c>
    </row>
    <row r="214" spans="1:13" x14ac:dyDescent="0.25">
      <c r="A214" t="s">
        <v>256</v>
      </c>
      <c r="B214">
        <v>287</v>
      </c>
      <c r="C214">
        <v>23</v>
      </c>
      <c r="D214" s="13" t="str">
        <f>IFERROR(VLOOKUP(C214,[1]Sheet1!$A$1:$C$41,2,0),"Merchant Not Found")</f>
        <v>Merchant_023</v>
      </c>
      <c r="E214" s="7">
        <v>46045.313888888901</v>
      </c>
      <c r="F214">
        <v>49</v>
      </c>
      <c r="G214" s="8" t="s">
        <v>39</v>
      </c>
      <c r="H214" s="8" t="s">
        <v>40</v>
      </c>
      <c r="I214">
        <v>9</v>
      </c>
      <c r="J214" s="9">
        <f t="shared" si="6"/>
        <v>46045</v>
      </c>
      <c r="K214" s="10">
        <f>INDEX(Daily_Merchant_Pivot!$B$3:$AO$32,MATCH(J214,Daily_Merchant_Pivot!$A$3:$A$32,0),MATCH(C214,Daily_Merchant_Pivot!$B$2:$AO$2,0))</f>
        <v>247</v>
      </c>
      <c r="L214" s="3" t="str">
        <f>INDEX(Merchant_Region_Map!$D$3:$D$42,MATCH(C214,Merchant_Region_Map!$A$3:$A$42,0))</f>
        <v>North</v>
      </c>
      <c r="M214" s="11" t="str">
        <f t="shared" si="7"/>
        <v/>
      </c>
    </row>
    <row r="215" spans="1:13" x14ac:dyDescent="0.25">
      <c r="A215" t="s">
        <v>257</v>
      </c>
      <c r="B215">
        <v>224</v>
      </c>
      <c r="C215">
        <v>2</v>
      </c>
      <c r="D215" s="13" t="str">
        <f>IFERROR(VLOOKUP(C215,[1]Sheet1!$A$1:$C$41,2,0),"Merchant Not Found")</f>
        <v>Merchant_002</v>
      </c>
      <c r="E215" s="7">
        <v>46035.9597222222</v>
      </c>
      <c r="F215">
        <v>49</v>
      </c>
      <c r="G215" s="8" t="s">
        <v>52</v>
      </c>
      <c r="H215" s="8" t="s">
        <v>40</v>
      </c>
      <c r="I215">
        <v>58</v>
      </c>
      <c r="J215" s="9">
        <f t="shared" si="6"/>
        <v>46035</v>
      </c>
      <c r="K215" s="10">
        <f>INDEX(Daily_Merchant_Pivot!$B$3:$AO$32,MATCH(J215,Daily_Merchant_Pivot!$A$3:$A$32,0),MATCH(C215,Daily_Merchant_Pivot!$B$2:$AO$2,0))</f>
        <v>49</v>
      </c>
      <c r="L215" s="3" t="str">
        <f>INDEX(Merchant_Region_Map!$D$3:$D$42,MATCH(C215,Merchant_Region_Map!$A$3:$A$42,0))</f>
        <v>West</v>
      </c>
      <c r="M215" s="11" t="str">
        <f t="shared" si="7"/>
        <v/>
      </c>
    </row>
    <row r="216" spans="1:13" x14ac:dyDescent="0.25">
      <c r="A216" t="s">
        <v>258</v>
      </c>
      <c r="B216">
        <v>161</v>
      </c>
      <c r="C216">
        <v>37</v>
      </c>
      <c r="D216" s="13" t="str">
        <f>IFERROR(VLOOKUP(C216,[1]Sheet1!$A$1:$C$41,2,0),"Merchant Not Found")</f>
        <v>Merchant_037</v>
      </c>
      <c r="E216" s="7">
        <v>46052.121527777803</v>
      </c>
      <c r="F216">
        <v>299</v>
      </c>
      <c r="G216" s="8" t="s">
        <v>39</v>
      </c>
      <c r="H216" s="8" t="s">
        <v>40</v>
      </c>
      <c r="I216">
        <v>54</v>
      </c>
      <c r="J216" s="9">
        <f t="shared" si="6"/>
        <v>46052</v>
      </c>
      <c r="K216" s="10">
        <f>INDEX(Daily_Merchant_Pivot!$B$3:$AO$32,MATCH(J216,Daily_Merchant_Pivot!$A$3:$A$32,0),MATCH(C216,Daily_Merchant_Pivot!$B$2:$AO$2,0))</f>
        <v>299</v>
      </c>
      <c r="L216" s="3" t="str">
        <f>INDEX(Merchant_Region_Map!$D$3:$D$42,MATCH(C216,Merchant_Region_Map!$A$3:$A$42,0))</f>
        <v>South</v>
      </c>
      <c r="M216" s="11" t="str">
        <f t="shared" si="7"/>
        <v/>
      </c>
    </row>
    <row r="217" spans="1:13" x14ac:dyDescent="0.25">
      <c r="A217" t="s">
        <v>259</v>
      </c>
      <c r="B217">
        <v>328</v>
      </c>
      <c r="C217">
        <v>27</v>
      </c>
      <c r="D217" s="13" t="str">
        <f>IFERROR(VLOOKUP(C217,[1]Sheet1!$A$1:$C$41,2,0),"Merchant Not Found")</f>
        <v>Merchant_027</v>
      </c>
      <c r="E217" s="7">
        <v>46041.53125</v>
      </c>
      <c r="F217">
        <v>49</v>
      </c>
      <c r="G217" s="8" t="s">
        <v>39</v>
      </c>
      <c r="H217" s="8" t="s">
        <v>66</v>
      </c>
      <c r="I217">
        <v>37</v>
      </c>
      <c r="J217" s="9">
        <f t="shared" si="6"/>
        <v>46041</v>
      </c>
      <c r="K217" s="10">
        <f>INDEX(Daily_Merchant_Pivot!$B$3:$AO$32,MATCH(J217,Daily_Merchant_Pivot!$A$3:$A$32,0),MATCH(C217,Daily_Merchant_Pivot!$B$2:$AO$2,0))</f>
        <v>0</v>
      </c>
      <c r="L217" s="3" t="str">
        <f>INDEX(Merchant_Region_Map!$D$3:$D$42,MATCH(C217,Merchant_Region_Map!$A$3:$A$42,0))</f>
        <v>North</v>
      </c>
      <c r="M217" s="11" t="str">
        <f t="shared" si="7"/>
        <v/>
      </c>
    </row>
    <row r="218" spans="1:13" x14ac:dyDescent="0.25">
      <c r="A218" t="s">
        <v>260</v>
      </c>
      <c r="B218">
        <v>167</v>
      </c>
      <c r="C218">
        <v>11</v>
      </c>
      <c r="D218" s="13" t="str">
        <f>IFERROR(VLOOKUP(C218,[1]Sheet1!$A$1:$C$41,2,0),"Merchant Not Found")</f>
        <v>Merchant_011</v>
      </c>
      <c r="E218" s="7">
        <v>46026.500694444498</v>
      </c>
      <c r="F218">
        <v>1499</v>
      </c>
      <c r="G218" s="8" t="s">
        <v>52</v>
      </c>
      <c r="H218" s="8" t="s">
        <v>53</v>
      </c>
      <c r="I218">
        <v>79</v>
      </c>
      <c r="J218" s="9">
        <f t="shared" si="6"/>
        <v>46026</v>
      </c>
      <c r="K218" s="10">
        <f>INDEX(Daily_Merchant_Pivot!$B$3:$AO$32,MATCH(J218,Daily_Merchant_Pivot!$A$3:$A$32,0),MATCH(C218,Daily_Merchant_Pivot!$B$2:$AO$2,0))</f>
        <v>0</v>
      </c>
      <c r="L218" s="3" t="str">
        <f>INDEX(Merchant_Region_Map!$D$3:$D$42,MATCH(C218,Merchant_Region_Map!$A$3:$A$42,0))</f>
        <v>North</v>
      </c>
      <c r="M218" s="11" t="str">
        <f t="shared" si="7"/>
        <v/>
      </c>
    </row>
    <row r="219" spans="1:13" x14ac:dyDescent="0.25">
      <c r="A219" t="s">
        <v>261</v>
      </c>
      <c r="B219">
        <v>186</v>
      </c>
      <c r="C219">
        <v>6</v>
      </c>
      <c r="D219" s="13" t="str">
        <f>IFERROR(VLOOKUP(C219,[1]Sheet1!$A$1:$C$41,2,0),"Merchant Not Found")</f>
        <v>Merchant_006</v>
      </c>
      <c r="E219" s="7">
        <v>46037.956944444399</v>
      </c>
      <c r="F219">
        <v>49</v>
      </c>
      <c r="G219" s="8" t="s">
        <v>42</v>
      </c>
      <c r="H219" s="8" t="s">
        <v>40</v>
      </c>
      <c r="I219">
        <v>55</v>
      </c>
      <c r="J219" s="9">
        <f t="shared" si="6"/>
        <v>46037</v>
      </c>
      <c r="K219" s="10">
        <f>INDEX(Daily_Merchant_Pivot!$B$3:$AO$32,MATCH(J219,Daily_Merchant_Pivot!$A$3:$A$32,0),MATCH(C219,Daily_Merchant_Pivot!$B$2:$AO$2,0))</f>
        <v>49</v>
      </c>
      <c r="L219" s="3" t="str">
        <f>INDEX(Merchant_Region_Map!$D$3:$D$42,MATCH(C219,Merchant_Region_Map!$A$3:$A$42,0))</f>
        <v>South</v>
      </c>
      <c r="M219" s="11" t="str">
        <f t="shared" si="7"/>
        <v/>
      </c>
    </row>
    <row r="220" spans="1:13" x14ac:dyDescent="0.25">
      <c r="A220" t="s">
        <v>262</v>
      </c>
      <c r="B220">
        <v>224</v>
      </c>
      <c r="C220">
        <v>38</v>
      </c>
      <c r="D220" s="13" t="str">
        <f>IFERROR(VLOOKUP(C220,[1]Sheet1!$A$1:$C$41,2,0),"Merchant Not Found")</f>
        <v>Merchant_038</v>
      </c>
      <c r="E220" s="7">
        <v>46050.135416666701</v>
      </c>
      <c r="F220">
        <v>299</v>
      </c>
      <c r="G220" s="8" t="s">
        <v>42</v>
      </c>
      <c r="H220" s="8" t="s">
        <v>53</v>
      </c>
      <c r="I220">
        <v>51</v>
      </c>
      <c r="J220" s="9">
        <f t="shared" si="6"/>
        <v>46050</v>
      </c>
      <c r="K220" s="10">
        <f>INDEX(Daily_Merchant_Pivot!$B$3:$AO$32,MATCH(J220,Daily_Merchant_Pivot!$A$3:$A$32,0),MATCH(C220,Daily_Merchant_Pivot!$B$2:$AO$2,0))</f>
        <v>0</v>
      </c>
      <c r="L220" s="3" t="str">
        <f>INDEX(Merchant_Region_Map!$D$3:$D$42,MATCH(C220,Merchant_Region_Map!$A$3:$A$42,0))</f>
        <v>East</v>
      </c>
      <c r="M220" s="11" t="str">
        <f t="shared" si="7"/>
        <v/>
      </c>
    </row>
    <row r="221" spans="1:13" x14ac:dyDescent="0.25">
      <c r="A221" t="s">
        <v>263</v>
      </c>
      <c r="B221">
        <v>159</v>
      </c>
      <c r="C221">
        <v>22</v>
      </c>
      <c r="D221" s="13" t="str">
        <f>IFERROR(VLOOKUP(C221,[1]Sheet1!$A$1:$C$41,2,0),"Merchant Not Found")</f>
        <v>Merchant_022</v>
      </c>
      <c r="E221" s="7">
        <v>46039.100694444503</v>
      </c>
      <c r="F221">
        <v>799</v>
      </c>
      <c r="G221" s="8" t="s">
        <v>39</v>
      </c>
      <c r="H221" s="8" t="s">
        <v>40</v>
      </c>
      <c r="I221">
        <v>28</v>
      </c>
      <c r="J221" s="9">
        <f t="shared" si="6"/>
        <v>46039</v>
      </c>
      <c r="K221" s="10">
        <f>INDEX(Daily_Merchant_Pivot!$B$3:$AO$32,MATCH(J221,Daily_Merchant_Pivot!$A$3:$A$32,0),MATCH(C221,Daily_Merchant_Pivot!$B$2:$AO$2,0))</f>
        <v>1598</v>
      </c>
      <c r="L221" s="3" t="str">
        <f>INDEX(Merchant_Region_Map!$D$3:$D$42,MATCH(C221,Merchant_Region_Map!$A$3:$A$42,0))</f>
        <v>South</v>
      </c>
      <c r="M221" s="11" t="str">
        <f t="shared" si="7"/>
        <v/>
      </c>
    </row>
    <row r="222" spans="1:13" x14ac:dyDescent="0.25">
      <c r="A222" t="s">
        <v>264</v>
      </c>
      <c r="B222">
        <v>262</v>
      </c>
      <c r="C222">
        <v>8</v>
      </c>
      <c r="D222" s="13" t="str">
        <f>IFERROR(VLOOKUP(C222,[1]Sheet1!$A$1:$C$41,2,0),"Merchant Not Found")</f>
        <v>Merchant_008</v>
      </c>
      <c r="E222" s="7">
        <v>46033.211111111101</v>
      </c>
      <c r="F222">
        <v>149</v>
      </c>
      <c r="G222" s="8" t="s">
        <v>39</v>
      </c>
      <c r="H222" s="8" t="s">
        <v>40</v>
      </c>
      <c r="I222">
        <v>67</v>
      </c>
      <c r="J222" s="9">
        <f t="shared" si="6"/>
        <v>46033</v>
      </c>
      <c r="K222" s="10">
        <f>INDEX(Daily_Merchant_Pivot!$B$3:$AO$32,MATCH(J222,Daily_Merchant_Pivot!$A$3:$A$32,0),MATCH(C222,Daily_Merchant_Pivot!$B$2:$AO$2,0))</f>
        <v>149</v>
      </c>
      <c r="L222" s="3" t="str">
        <f>INDEX(Merchant_Region_Map!$D$3:$D$42,MATCH(C222,Merchant_Region_Map!$A$3:$A$42,0))</f>
        <v>North</v>
      </c>
      <c r="M222" s="11" t="str">
        <f t="shared" si="7"/>
        <v/>
      </c>
    </row>
    <row r="223" spans="1:13" x14ac:dyDescent="0.25">
      <c r="A223" t="s">
        <v>265</v>
      </c>
      <c r="B223">
        <v>179</v>
      </c>
      <c r="C223">
        <v>23</v>
      </c>
      <c r="D223" s="13" t="str">
        <f>IFERROR(VLOOKUP(C223,[1]Sheet1!$A$1:$C$41,2,0),"Merchant Not Found")</f>
        <v>Merchant_023</v>
      </c>
      <c r="E223" s="7">
        <v>46039.289583333302</v>
      </c>
      <c r="F223">
        <v>49</v>
      </c>
      <c r="G223" s="8" t="s">
        <v>42</v>
      </c>
      <c r="H223" s="8" t="s">
        <v>40</v>
      </c>
      <c r="I223">
        <v>93</v>
      </c>
      <c r="J223" s="9">
        <f t="shared" si="6"/>
        <v>46039</v>
      </c>
      <c r="K223" s="10">
        <f>INDEX(Daily_Merchant_Pivot!$B$3:$AO$32,MATCH(J223,Daily_Merchant_Pivot!$A$3:$A$32,0),MATCH(C223,Daily_Merchant_Pivot!$B$2:$AO$2,0))</f>
        <v>49</v>
      </c>
      <c r="L223" s="3" t="str">
        <f>INDEX(Merchant_Region_Map!$D$3:$D$42,MATCH(C223,Merchant_Region_Map!$A$3:$A$42,0))</f>
        <v>North</v>
      </c>
      <c r="M223" s="11" t="str">
        <f t="shared" si="7"/>
        <v/>
      </c>
    </row>
    <row r="224" spans="1:13" x14ac:dyDescent="0.25">
      <c r="A224" t="s">
        <v>266</v>
      </c>
      <c r="B224">
        <v>76</v>
      </c>
      <c r="C224">
        <v>16</v>
      </c>
      <c r="D224" s="13" t="str">
        <f>IFERROR(VLOOKUP(C224,[1]Sheet1!$A$1:$C$41,2,0),"Merchant Not Found")</f>
        <v>Merchant_016</v>
      </c>
      <c r="E224" s="7">
        <v>46049.869444444397</v>
      </c>
      <c r="F224">
        <v>299</v>
      </c>
      <c r="G224" s="8" t="s">
        <v>39</v>
      </c>
      <c r="H224" s="8" t="s">
        <v>40</v>
      </c>
      <c r="I224">
        <v>13</v>
      </c>
      <c r="J224" s="9">
        <f t="shared" si="6"/>
        <v>46049</v>
      </c>
      <c r="K224" s="10">
        <f>INDEX(Daily_Merchant_Pivot!$B$3:$AO$32,MATCH(J224,Daily_Merchant_Pivot!$A$3:$A$32,0),MATCH(C224,Daily_Merchant_Pivot!$B$2:$AO$2,0))</f>
        <v>348</v>
      </c>
      <c r="L224" s="3" t="str">
        <f>INDEX(Merchant_Region_Map!$D$3:$D$42,MATCH(C224,Merchant_Region_Map!$A$3:$A$42,0))</f>
        <v>West</v>
      </c>
      <c r="M224" s="11" t="str">
        <f t="shared" si="7"/>
        <v/>
      </c>
    </row>
    <row r="225" spans="1:13" x14ac:dyDescent="0.25">
      <c r="A225" t="s">
        <v>267</v>
      </c>
      <c r="B225">
        <v>89</v>
      </c>
      <c r="C225">
        <v>39</v>
      </c>
      <c r="D225" s="13" t="str">
        <f>IFERROR(VLOOKUP(C225,[1]Sheet1!$A$1:$C$41,2,0),"Merchant Not Found")</f>
        <v>Merchant_039</v>
      </c>
      <c r="E225" s="7">
        <v>46027.341666666704</v>
      </c>
      <c r="F225">
        <v>299</v>
      </c>
      <c r="G225" s="8" t="s">
        <v>39</v>
      </c>
      <c r="H225" s="8" t="s">
        <v>40</v>
      </c>
      <c r="I225">
        <v>19</v>
      </c>
      <c r="J225" s="9">
        <f t="shared" si="6"/>
        <v>46027</v>
      </c>
      <c r="K225" s="10">
        <f>INDEX(Daily_Merchant_Pivot!$B$3:$AO$32,MATCH(J225,Daily_Merchant_Pivot!$A$3:$A$32,0),MATCH(C225,Daily_Merchant_Pivot!$B$2:$AO$2,0))</f>
        <v>299</v>
      </c>
      <c r="L225" s="3" t="str">
        <f>INDEX(Merchant_Region_Map!$D$3:$D$42,MATCH(C225,Merchant_Region_Map!$A$3:$A$42,0))</f>
        <v>North</v>
      </c>
      <c r="M225" s="11" t="str">
        <f t="shared" si="7"/>
        <v/>
      </c>
    </row>
    <row r="226" spans="1:13" x14ac:dyDescent="0.25">
      <c r="A226" t="s">
        <v>268</v>
      </c>
      <c r="B226">
        <v>91</v>
      </c>
      <c r="C226">
        <v>32</v>
      </c>
      <c r="D226" s="13" t="str">
        <f>IFERROR(VLOOKUP(C226,[1]Sheet1!$A$1:$C$41,2,0),"Merchant Not Found")</f>
        <v>Merchant_032</v>
      </c>
      <c r="E226" s="7">
        <v>46047.836111111101</v>
      </c>
      <c r="F226">
        <v>49</v>
      </c>
      <c r="G226" s="8" t="s">
        <v>39</v>
      </c>
      <c r="H226" s="8" t="s">
        <v>40</v>
      </c>
      <c r="I226">
        <v>59</v>
      </c>
      <c r="J226" s="9">
        <f t="shared" si="6"/>
        <v>46047</v>
      </c>
      <c r="K226" s="10">
        <f>INDEX(Daily_Merchant_Pivot!$B$3:$AO$32,MATCH(J226,Daily_Merchant_Pivot!$A$3:$A$32,0),MATCH(C226,Daily_Merchant_Pivot!$B$2:$AO$2,0))</f>
        <v>49</v>
      </c>
      <c r="L226" s="3" t="str">
        <f>INDEX(Merchant_Region_Map!$D$3:$D$42,MATCH(C226,Merchant_Region_Map!$A$3:$A$42,0))</f>
        <v>West</v>
      </c>
      <c r="M226" s="11" t="str">
        <f t="shared" si="7"/>
        <v/>
      </c>
    </row>
    <row r="227" spans="1:13" x14ac:dyDescent="0.25">
      <c r="A227" t="s">
        <v>269</v>
      </c>
      <c r="B227">
        <v>297</v>
      </c>
      <c r="C227">
        <v>29</v>
      </c>
      <c r="D227" s="13" t="str">
        <f>IFERROR(VLOOKUP(C227,[1]Sheet1!$A$1:$C$41,2,0),"Merchant Not Found")</f>
        <v>Merchant_029</v>
      </c>
      <c r="E227" s="7">
        <v>46047.783333333296</v>
      </c>
      <c r="F227">
        <v>99</v>
      </c>
      <c r="G227" s="8" t="s">
        <v>52</v>
      </c>
      <c r="H227" s="8" t="s">
        <v>66</v>
      </c>
      <c r="I227">
        <v>87</v>
      </c>
      <c r="J227" s="9">
        <f t="shared" si="6"/>
        <v>46047</v>
      </c>
      <c r="K227" s="10">
        <f>INDEX(Daily_Merchant_Pivot!$B$3:$AO$32,MATCH(J227,Daily_Merchant_Pivot!$A$3:$A$32,0),MATCH(C227,Daily_Merchant_Pivot!$B$2:$AO$2,0))</f>
        <v>299</v>
      </c>
      <c r="L227" s="3" t="str">
        <f>INDEX(Merchant_Region_Map!$D$3:$D$42,MATCH(C227,Merchant_Region_Map!$A$3:$A$42,0))</f>
        <v>North</v>
      </c>
      <c r="M227" s="11" t="str">
        <f t="shared" si="7"/>
        <v/>
      </c>
    </row>
    <row r="228" spans="1:13" x14ac:dyDescent="0.25">
      <c r="A228" t="s">
        <v>270</v>
      </c>
      <c r="B228">
        <v>326</v>
      </c>
      <c r="C228">
        <v>40</v>
      </c>
      <c r="D228" s="13" t="str">
        <f>IFERROR(VLOOKUP(C228,[1]Sheet1!$A$1:$C$41,2,0),"Merchant Not Found")</f>
        <v>Merchant_040</v>
      </c>
      <c r="E228" s="7">
        <v>46052.778472222199</v>
      </c>
      <c r="F228">
        <v>499</v>
      </c>
      <c r="G228" s="8" t="s">
        <v>52</v>
      </c>
      <c r="H228" s="8" t="s">
        <v>40</v>
      </c>
      <c r="I228">
        <v>41</v>
      </c>
      <c r="J228" s="9">
        <f t="shared" si="6"/>
        <v>46052</v>
      </c>
      <c r="K228" s="10">
        <f>INDEX(Daily_Merchant_Pivot!$B$3:$AO$32,MATCH(J228,Daily_Merchant_Pivot!$A$3:$A$32,0),MATCH(C228,Daily_Merchant_Pivot!$B$2:$AO$2,0))</f>
        <v>499</v>
      </c>
      <c r="L228" s="3" t="str">
        <f>INDEX(Merchant_Region_Map!$D$3:$D$42,MATCH(C228,Merchant_Region_Map!$A$3:$A$42,0))</f>
        <v>South</v>
      </c>
      <c r="M228" s="11" t="str">
        <f t="shared" si="7"/>
        <v/>
      </c>
    </row>
    <row r="229" spans="1:13" x14ac:dyDescent="0.25">
      <c r="A229" t="s">
        <v>271</v>
      </c>
      <c r="B229">
        <v>78</v>
      </c>
      <c r="C229">
        <v>29</v>
      </c>
      <c r="D229" s="13" t="str">
        <f>IFERROR(VLOOKUP(C229,[1]Sheet1!$A$1:$C$41,2,0),"Merchant Not Found")</f>
        <v>Merchant_029</v>
      </c>
      <c r="E229" s="7">
        <v>46050.847222222197</v>
      </c>
      <c r="F229">
        <v>149</v>
      </c>
      <c r="G229" s="8" t="s">
        <v>39</v>
      </c>
      <c r="H229" s="8" t="s">
        <v>40</v>
      </c>
      <c r="I229">
        <v>8</v>
      </c>
      <c r="J229" s="9">
        <f t="shared" si="6"/>
        <v>46050</v>
      </c>
      <c r="K229" s="10">
        <f>INDEX(Daily_Merchant_Pivot!$B$3:$AO$32,MATCH(J229,Daily_Merchant_Pivot!$A$3:$A$32,0),MATCH(C229,Daily_Merchant_Pivot!$B$2:$AO$2,0))</f>
        <v>149</v>
      </c>
      <c r="L229" s="3" t="str">
        <f>INDEX(Merchant_Region_Map!$D$3:$D$42,MATCH(C229,Merchant_Region_Map!$A$3:$A$42,0))</f>
        <v>North</v>
      </c>
      <c r="M229" s="11" t="str">
        <f t="shared" si="7"/>
        <v/>
      </c>
    </row>
    <row r="230" spans="1:13" x14ac:dyDescent="0.25">
      <c r="A230" t="s">
        <v>272</v>
      </c>
      <c r="B230">
        <v>156</v>
      </c>
      <c r="C230">
        <v>18</v>
      </c>
      <c r="D230" s="13" t="str">
        <f>IFERROR(VLOOKUP(C230,[1]Sheet1!$A$1:$C$41,2,0),"Merchant Not Found")</f>
        <v>Merchant_018</v>
      </c>
      <c r="E230" s="7">
        <v>46038.611111111102</v>
      </c>
      <c r="F230">
        <v>2999</v>
      </c>
      <c r="G230" s="8" t="s">
        <v>52</v>
      </c>
      <c r="H230" s="8" t="s">
        <v>40</v>
      </c>
      <c r="I230">
        <v>75</v>
      </c>
      <c r="J230" s="9">
        <f t="shared" si="6"/>
        <v>46038</v>
      </c>
      <c r="K230" s="10">
        <f>INDEX(Daily_Merchant_Pivot!$B$3:$AO$32,MATCH(J230,Daily_Merchant_Pivot!$A$3:$A$32,0),MATCH(C230,Daily_Merchant_Pivot!$B$2:$AO$2,0))</f>
        <v>3248</v>
      </c>
      <c r="L230" s="3" t="str">
        <f>INDEX(Merchant_Region_Map!$D$3:$D$42,MATCH(C230,Merchant_Region_Map!$A$3:$A$42,0))</f>
        <v>West</v>
      </c>
      <c r="M230" s="11" t="str">
        <f t="shared" si="7"/>
        <v/>
      </c>
    </row>
    <row r="231" spans="1:13" x14ac:dyDescent="0.25">
      <c r="A231" t="s">
        <v>273</v>
      </c>
      <c r="B231">
        <v>38</v>
      </c>
      <c r="C231">
        <v>20</v>
      </c>
      <c r="D231" s="13" t="str">
        <f>IFERROR(VLOOKUP(C231,[1]Sheet1!$A$1:$C$41,2,0),"Merchant Not Found")</f>
        <v>Merchant_020</v>
      </c>
      <c r="E231" s="7">
        <v>46024.480555555601</v>
      </c>
      <c r="F231">
        <v>49</v>
      </c>
      <c r="G231" s="8" t="s">
        <v>42</v>
      </c>
      <c r="H231" s="8" t="s">
        <v>53</v>
      </c>
      <c r="I231">
        <v>59</v>
      </c>
      <c r="J231" s="9">
        <f t="shared" si="6"/>
        <v>46024</v>
      </c>
      <c r="K231" s="10">
        <f>INDEX(Daily_Merchant_Pivot!$B$3:$AO$32,MATCH(J231,Daily_Merchant_Pivot!$A$3:$A$32,0),MATCH(C231,Daily_Merchant_Pivot!$B$2:$AO$2,0))</f>
        <v>0</v>
      </c>
      <c r="L231" s="3" t="str">
        <f>INDEX(Merchant_Region_Map!$D$3:$D$42,MATCH(C231,Merchant_Region_Map!$A$3:$A$42,0))</f>
        <v>East</v>
      </c>
      <c r="M231" s="11" t="str">
        <f t="shared" si="7"/>
        <v/>
      </c>
    </row>
    <row r="232" spans="1:13" x14ac:dyDescent="0.25">
      <c r="A232" t="s">
        <v>274</v>
      </c>
      <c r="B232">
        <v>189</v>
      </c>
      <c r="C232">
        <v>19</v>
      </c>
      <c r="D232" s="13" t="str">
        <f>IFERROR(VLOOKUP(C232,[1]Sheet1!$A$1:$C$41,2,0),"Merchant Not Found")</f>
        <v>Merchant_019</v>
      </c>
      <c r="E232" s="7">
        <v>46037.043749999997</v>
      </c>
      <c r="F232">
        <v>99</v>
      </c>
      <c r="G232" s="8" t="s">
        <v>39</v>
      </c>
      <c r="H232" s="8" t="s">
        <v>53</v>
      </c>
      <c r="I232">
        <v>9</v>
      </c>
      <c r="J232" s="9">
        <f t="shared" si="6"/>
        <v>46037</v>
      </c>
      <c r="K232" s="10">
        <f>INDEX(Daily_Merchant_Pivot!$B$3:$AO$32,MATCH(J232,Daily_Merchant_Pivot!$A$3:$A$32,0),MATCH(C232,Daily_Merchant_Pivot!$B$2:$AO$2,0))</f>
        <v>299</v>
      </c>
      <c r="L232" s="3" t="str">
        <f>INDEX(Merchant_Region_Map!$D$3:$D$42,MATCH(C232,Merchant_Region_Map!$A$3:$A$42,0))</f>
        <v>North</v>
      </c>
      <c r="M232" s="11" t="str">
        <f t="shared" si="7"/>
        <v/>
      </c>
    </row>
    <row r="233" spans="1:13" x14ac:dyDescent="0.25">
      <c r="A233" t="s">
        <v>275</v>
      </c>
      <c r="B233">
        <v>305</v>
      </c>
      <c r="C233">
        <v>33</v>
      </c>
      <c r="D233" s="13" t="str">
        <f>IFERROR(VLOOKUP(C233,[1]Sheet1!$A$1:$C$41,2,0),"Merchant Not Found")</f>
        <v>Merchant_033</v>
      </c>
      <c r="E233" s="7">
        <v>46043.110416666699</v>
      </c>
      <c r="F233">
        <v>299</v>
      </c>
      <c r="G233" s="8" t="s">
        <v>52</v>
      </c>
      <c r="H233" s="8" t="s">
        <v>40</v>
      </c>
      <c r="I233">
        <v>49</v>
      </c>
      <c r="J233" s="9">
        <f t="shared" si="6"/>
        <v>46043</v>
      </c>
      <c r="K233" s="10">
        <f>INDEX(Daily_Merchant_Pivot!$B$3:$AO$32,MATCH(J233,Daily_Merchant_Pivot!$A$3:$A$32,0),MATCH(C233,Daily_Merchant_Pivot!$B$2:$AO$2,0))</f>
        <v>3298</v>
      </c>
      <c r="L233" s="3" t="str">
        <f>INDEX(Merchant_Region_Map!$D$3:$D$42,MATCH(C233,Merchant_Region_Map!$A$3:$A$42,0))</f>
        <v>East</v>
      </c>
      <c r="M233" s="11" t="str">
        <f t="shared" si="7"/>
        <v/>
      </c>
    </row>
    <row r="234" spans="1:13" x14ac:dyDescent="0.25">
      <c r="A234" t="s">
        <v>276</v>
      </c>
      <c r="B234">
        <v>22</v>
      </c>
      <c r="C234">
        <v>29</v>
      </c>
      <c r="D234" s="13" t="str">
        <f>IFERROR(VLOOKUP(C234,[1]Sheet1!$A$1:$C$41,2,0),"Merchant Not Found")</f>
        <v>Merchant_029</v>
      </c>
      <c r="E234" s="7">
        <v>46037.774305555598</v>
      </c>
      <c r="F234">
        <v>799</v>
      </c>
      <c r="G234" s="8" t="s">
        <v>39</v>
      </c>
      <c r="H234" s="8" t="s">
        <v>40</v>
      </c>
      <c r="I234">
        <v>73</v>
      </c>
      <c r="J234" s="9">
        <f t="shared" si="6"/>
        <v>46037</v>
      </c>
      <c r="K234" s="10">
        <f>INDEX(Daily_Merchant_Pivot!$B$3:$AO$32,MATCH(J234,Daily_Merchant_Pivot!$A$3:$A$32,0),MATCH(C234,Daily_Merchant_Pivot!$B$2:$AO$2,0))</f>
        <v>1098</v>
      </c>
      <c r="L234" s="3" t="str">
        <f>INDEX(Merchant_Region_Map!$D$3:$D$42,MATCH(C234,Merchant_Region_Map!$A$3:$A$42,0))</f>
        <v>North</v>
      </c>
      <c r="M234" s="11" t="str">
        <f t="shared" si="7"/>
        <v/>
      </c>
    </row>
    <row r="235" spans="1:13" x14ac:dyDescent="0.25">
      <c r="A235" t="s">
        <v>277</v>
      </c>
      <c r="B235">
        <v>310</v>
      </c>
      <c r="C235">
        <v>31</v>
      </c>
      <c r="D235" s="13" t="str">
        <f>IFERROR(VLOOKUP(C235,[1]Sheet1!$A$1:$C$41,2,0),"Merchant Not Found")</f>
        <v>Merchant_031</v>
      </c>
      <c r="E235" s="7">
        <v>46043.263888888898</v>
      </c>
      <c r="F235">
        <v>49</v>
      </c>
      <c r="G235" s="8" t="s">
        <v>52</v>
      </c>
      <c r="H235" s="8" t="s">
        <v>40</v>
      </c>
      <c r="I235">
        <v>64</v>
      </c>
      <c r="J235" s="9">
        <f t="shared" si="6"/>
        <v>46043</v>
      </c>
      <c r="K235" s="10">
        <f>INDEX(Daily_Merchant_Pivot!$B$3:$AO$32,MATCH(J235,Daily_Merchant_Pivot!$A$3:$A$32,0),MATCH(C235,Daily_Merchant_Pivot!$B$2:$AO$2,0))</f>
        <v>49</v>
      </c>
      <c r="L235" s="3" t="str">
        <f>INDEX(Merchant_Region_Map!$D$3:$D$42,MATCH(C235,Merchant_Region_Map!$A$3:$A$42,0))</f>
        <v>East</v>
      </c>
      <c r="M235" s="11" t="str">
        <f t="shared" si="7"/>
        <v/>
      </c>
    </row>
    <row r="236" spans="1:13" x14ac:dyDescent="0.25">
      <c r="A236" t="s">
        <v>278</v>
      </c>
      <c r="B236">
        <v>53</v>
      </c>
      <c r="C236">
        <v>22</v>
      </c>
      <c r="D236" s="13" t="str">
        <f>IFERROR(VLOOKUP(C236,[1]Sheet1!$A$1:$C$41,2,0),"Merchant Not Found")</f>
        <v>Merchant_022</v>
      </c>
      <c r="E236" s="7">
        <v>46027.061111111099</v>
      </c>
      <c r="F236">
        <v>299</v>
      </c>
      <c r="G236" s="8" t="s">
        <v>39</v>
      </c>
      <c r="H236" s="8" t="s">
        <v>40</v>
      </c>
      <c r="I236">
        <v>91</v>
      </c>
      <c r="J236" s="9">
        <f t="shared" si="6"/>
        <v>46027</v>
      </c>
      <c r="K236" s="10">
        <f>INDEX(Daily_Merchant_Pivot!$B$3:$AO$32,MATCH(J236,Daily_Merchant_Pivot!$A$3:$A$32,0),MATCH(C236,Daily_Merchant_Pivot!$B$2:$AO$2,0))</f>
        <v>448</v>
      </c>
      <c r="L236" s="3" t="str">
        <f>INDEX(Merchant_Region_Map!$D$3:$D$42,MATCH(C236,Merchant_Region_Map!$A$3:$A$42,0))</f>
        <v>South</v>
      </c>
      <c r="M236" s="11" t="str">
        <f t="shared" si="7"/>
        <v/>
      </c>
    </row>
    <row r="237" spans="1:13" x14ac:dyDescent="0.25">
      <c r="A237" t="s">
        <v>279</v>
      </c>
      <c r="B237">
        <v>89</v>
      </c>
      <c r="C237">
        <v>3</v>
      </c>
      <c r="D237" s="13" t="str">
        <f>IFERROR(VLOOKUP(C237,[1]Sheet1!$A$1:$C$41,2,0),"Merchant Not Found")</f>
        <v>Merchant_003</v>
      </c>
      <c r="E237" s="7">
        <v>46025.695138888899</v>
      </c>
      <c r="F237">
        <v>149</v>
      </c>
      <c r="G237" s="8" t="s">
        <v>52</v>
      </c>
      <c r="H237" s="8" t="s">
        <v>40</v>
      </c>
      <c r="I237">
        <v>31</v>
      </c>
      <c r="J237" s="9">
        <f t="shared" si="6"/>
        <v>46025</v>
      </c>
      <c r="K237" s="10">
        <f>INDEX(Daily_Merchant_Pivot!$B$3:$AO$32,MATCH(J237,Daily_Merchant_Pivot!$A$3:$A$32,0),MATCH(C237,Daily_Merchant_Pivot!$B$2:$AO$2,0))</f>
        <v>198</v>
      </c>
      <c r="L237" s="3" t="str">
        <f>INDEX(Merchant_Region_Map!$D$3:$D$42,MATCH(C237,Merchant_Region_Map!$A$3:$A$42,0))</f>
        <v>East</v>
      </c>
      <c r="M237" s="11" t="str">
        <f t="shared" si="7"/>
        <v/>
      </c>
    </row>
    <row r="238" spans="1:13" x14ac:dyDescent="0.25">
      <c r="A238" t="s">
        <v>280</v>
      </c>
      <c r="B238">
        <v>269</v>
      </c>
      <c r="C238">
        <v>34</v>
      </c>
      <c r="D238" s="13" t="str">
        <f>IFERROR(VLOOKUP(C238,[1]Sheet1!$A$1:$C$41,2,0),"Merchant Not Found")</f>
        <v>Merchant_034</v>
      </c>
      <c r="E238" s="7">
        <v>46045.6027777778</v>
      </c>
      <c r="F238">
        <v>149</v>
      </c>
      <c r="G238" s="8" t="s">
        <v>39</v>
      </c>
      <c r="H238" s="8" t="s">
        <v>40</v>
      </c>
      <c r="I238">
        <v>78</v>
      </c>
      <c r="J238" s="9">
        <f t="shared" si="6"/>
        <v>46045</v>
      </c>
      <c r="K238" s="10">
        <f>INDEX(Daily_Merchant_Pivot!$B$3:$AO$32,MATCH(J238,Daily_Merchant_Pivot!$A$3:$A$32,0),MATCH(C238,Daily_Merchant_Pivot!$B$2:$AO$2,0))</f>
        <v>3148</v>
      </c>
      <c r="L238" s="3" t="str">
        <f>INDEX(Merchant_Region_Map!$D$3:$D$42,MATCH(C238,Merchant_Region_Map!$A$3:$A$42,0))</f>
        <v>South</v>
      </c>
      <c r="M238" s="11" t="str">
        <f t="shared" si="7"/>
        <v/>
      </c>
    </row>
    <row r="239" spans="1:13" x14ac:dyDescent="0.25">
      <c r="A239" t="s">
        <v>281</v>
      </c>
      <c r="B239">
        <v>145</v>
      </c>
      <c r="C239">
        <v>25</v>
      </c>
      <c r="D239" s="13" t="str">
        <f>IFERROR(VLOOKUP(C239,[1]Sheet1!$A$1:$C$41,2,0),"Merchant Not Found")</f>
        <v>Merchant_025</v>
      </c>
      <c r="E239" s="7">
        <v>46028.474305555603</v>
      </c>
      <c r="F239">
        <v>799</v>
      </c>
      <c r="G239" s="8" t="s">
        <v>39</v>
      </c>
      <c r="H239" s="8" t="s">
        <v>40</v>
      </c>
      <c r="I239">
        <v>52</v>
      </c>
      <c r="J239" s="9">
        <f t="shared" si="6"/>
        <v>46028</v>
      </c>
      <c r="K239" s="10">
        <f>INDEX(Daily_Merchant_Pivot!$B$3:$AO$32,MATCH(J239,Daily_Merchant_Pivot!$A$3:$A$32,0),MATCH(C239,Daily_Merchant_Pivot!$B$2:$AO$2,0))</f>
        <v>898</v>
      </c>
      <c r="L239" s="3" t="str">
        <f>INDEX(Merchant_Region_Map!$D$3:$D$42,MATCH(C239,Merchant_Region_Map!$A$3:$A$42,0))</f>
        <v>South</v>
      </c>
      <c r="M239" s="11" t="str">
        <f t="shared" si="7"/>
        <v/>
      </c>
    </row>
    <row r="240" spans="1:13" x14ac:dyDescent="0.25">
      <c r="A240" t="s">
        <v>282</v>
      </c>
      <c r="B240">
        <v>307</v>
      </c>
      <c r="C240">
        <v>4</v>
      </c>
      <c r="D240" s="13" t="str">
        <f>IFERROR(VLOOKUP(C240,[1]Sheet1!$A$1:$C$41,2,0),"Merchant Not Found")</f>
        <v>Merchant_004</v>
      </c>
      <c r="E240" s="7">
        <v>46047.4465277778</v>
      </c>
      <c r="F240">
        <v>1499</v>
      </c>
      <c r="G240" s="8" t="s">
        <v>39</v>
      </c>
      <c r="H240" s="8" t="s">
        <v>40</v>
      </c>
      <c r="I240">
        <v>80</v>
      </c>
      <c r="J240" s="9">
        <f t="shared" si="6"/>
        <v>46047</v>
      </c>
      <c r="K240" s="10">
        <f>INDEX(Daily_Merchant_Pivot!$B$3:$AO$32,MATCH(J240,Daily_Merchant_Pivot!$A$3:$A$32,0),MATCH(C240,Daily_Merchant_Pivot!$B$2:$AO$2,0))</f>
        <v>1998</v>
      </c>
      <c r="L240" s="3" t="str">
        <f>INDEX(Merchant_Region_Map!$D$3:$D$42,MATCH(C240,Merchant_Region_Map!$A$3:$A$42,0))</f>
        <v>East</v>
      </c>
      <c r="M240" s="11" t="str">
        <f t="shared" si="7"/>
        <v/>
      </c>
    </row>
    <row r="241" spans="1:13" x14ac:dyDescent="0.25">
      <c r="A241" t="s">
        <v>283</v>
      </c>
      <c r="B241">
        <v>169</v>
      </c>
      <c r="C241">
        <v>7</v>
      </c>
      <c r="D241" s="13" t="str">
        <f>IFERROR(VLOOKUP(C241,[1]Sheet1!$A$1:$C$41,2,0),"Merchant Not Found")</f>
        <v>Merchant_007</v>
      </c>
      <c r="E241" s="7">
        <v>46043.4194444444</v>
      </c>
      <c r="F241">
        <v>1499</v>
      </c>
      <c r="G241" s="8" t="s">
        <v>42</v>
      </c>
      <c r="H241" s="8" t="s">
        <v>40</v>
      </c>
      <c r="I241">
        <v>71</v>
      </c>
      <c r="J241" s="9">
        <f t="shared" si="6"/>
        <v>46043</v>
      </c>
      <c r="K241" s="10">
        <f>INDEX(Daily_Merchant_Pivot!$B$3:$AO$32,MATCH(J241,Daily_Merchant_Pivot!$A$3:$A$32,0),MATCH(C241,Daily_Merchant_Pivot!$B$2:$AO$2,0))</f>
        <v>1499</v>
      </c>
      <c r="L241" s="3" t="str">
        <f>INDEX(Merchant_Region_Map!$D$3:$D$42,MATCH(C241,Merchant_Region_Map!$A$3:$A$42,0))</f>
        <v>East</v>
      </c>
      <c r="M241" s="11" t="str">
        <f t="shared" si="7"/>
        <v/>
      </c>
    </row>
    <row r="242" spans="1:13" x14ac:dyDescent="0.25">
      <c r="A242" t="s">
        <v>284</v>
      </c>
      <c r="B242">
        <v>340</v>
      </c>
      <c r="C242">
        <v>10</v>
      </c>
      <c r="D242" s="13" t="str">
        <f>IFERROR(VLOOKUP(C242,[1]Sheet1!$A$1:$C$41,2,0),"Merchant Not Found")</f>
        <v>Merchant_010</v>
      </c>
      <c r="E242" s="7">
        <v>46033.109027777798</v>
      </c>
      <c r="F242">
        <v>49</v>
      </c>
      <c r="G242" s="8" t="s">
        <v>52</v>
      </c>
      <c r="H242" s="8" t="s">
        <v>40</v>
      </c>
      <c r="I242">
        <v>44</v>
      </c>
      <c r="J242" s="9">
        <f t="shared" si="6"/>
        <v>46033</v>
      </c>
      <c r="K242" s="10">
        <f>INDEX(Daily_Merchant_Pivot!$B$3:$AO$32,MATCH(J242,Daily_Merchant_Pivot!$A$3:$A$32,0),MATCH(C242,Daily_Merchant_Pivot!$B$2:$AO$2,0))</f>
        <v>98</v>
      </c>
      <c r="L242" s="3" t="str">
        <f>INDEX(Merchant_Region_Map!$D$3:$D$42,MATCH(C242,Merchant_Region_Map!$A$3:$A$42,0))</f>
        <v>West</v>
      </c>
      <c r="M242" s="11" t="str">
        <f t="shared" si="7"/>
        <v/>
      </c>
    </row>
    <row r="243" spans="1:13" x14ac:dyDescent="0.25">
      <c r="A243" t="s">
        <v>285</v>
      </c>
      <c r="B243">
        <v>340</v>
      </c>
      <c r="C243">
        <v>26</v>
      </c>
      <c r="D243" s="13" t="str">
        <f>IFERROR(VLOOKUP(C243,[1]Sheet1!$A$1:$C$41,2,0),"Merchant Not Found")</f>
        <v>Merchant_026</v>
      </c>
      <c r="E243" s="7">
        <v>46032.863888888904</v>
      </c>
      <c r="F243">
        <v>349</v>
      </c>
      <c r="G243" s="8" t="s">
        <v>52</v>
      </c>
      <c r="H243" s="8" t="s">
        <v>40</v>
      </c>
      <c r="I243">
        <v>16</v>
      </c>
      <c r="J243" s="9">
        <f t="shared" si="6"/>
        <v>46032</v>
      </c>
      <c r="K243" s="10">
        <f>INDEX(Daily_Merchant_Pivot!$B$3:$AO$32,MATCH(J243,Daily_Merchant_Pivot!$A$3:$A$32,0),MATCH(C243,Daily_Merchant_Pivot!$B$2:$AO$2,0))</f>
        <v>349</v>
      </c>
      <c r="L243" s="3" t="str">
        <f>INDEX(Merchant_Region_Map!$D$3:$D$42,MATCH(C243,Merchant_Region_Map!$A$3:$A$42,0))</f>
        <v>East</v>
      </c>
      <c r="M243" s="11" t="str">
        <f t="shared" si="7"/>
        <v/>
      </c>
    </row>
    <row r="244" spans="1:13" x14ac:dyDescent="0.25">
      <c r="A244" t="s">
        <v>286</v>
      </c>
      <c r="B244">
        <v>159</v>
      </c>
      <c r="C244">
        <v>36</v>
      </c>
      <c r="D244" s="13" t="str">
        <f>IFERROR(VLOOKUP(C244,[1]Sheet1!$A$1:$C$41,2,0),"Merchant Not Found")</f>
        <v>Merchant_036</v>
      </c>
      <c r="E244" s="7">
        <v>46042.920138888898</v>
      </c>
      <c r="F244">
        <v>49</v>
      </c>
      <c r="G244" s="8" t="s">
        <v>39</v>
      </c>
      <c r="H244" s="8" t="s">
        <v>40</v>
      </c>
      <c r="I244">
        <v>48</v>
      </c>
      <c r="J244" s="9">
        <f t="shared" si="6"/>
        <v>46042</v>
      </c>
      <c r="K244" s="10">
        <f>INDEX(Daily_Merchant_Pivot!$B$3:$AO$32,MATCH(J244,Daily_Merchant_Pivot!$A$3:$A$32,0),MATCH(C244,Daily_Merchant_Pivot!$B$2:$AO$2,0))</f>
        <v>49</v>
      </c>
      <c r="L244" s="3" t="str">
        <f>INDEX(Merchant_Region_Map!$D$3:$D$42,MATCH(C244,Merchant_Region_Map!$A$3:$A$42,0))</f>
        <v>East</v>
      </c>
      <c r="M244" s="11" t="str">
        <f t="shared" si="7"/>
        <v/>
      </c>
    </row>
    <row r="245" spans="1:13" x14ac:dyDescent="0.25">
      <c r="A245" t="s">
        <v>287</v>
      </c>
      <c r="B245">
        <v>66</v>
      </c>
      <c r="C245">
        <v>34</v>
      </c>
      <c r="D245" s="13" t="str">
        <f>IFERROR(VLOOKUP(C245,[1]Sheet1!$A$1:$C$41,2,0),"Merchant Not Found")</f>
        <v>Merchant_034</v>
      </c>
      <c r="E245" s="7">
        <v>46043.452777777798</v>
      </c>
      <c r="F245">
        <v>799</v>
      </c>
      <c r="G245" s="8" t="s">
        <v>39</v>
      </c>
      <c r="H245" s="8" t="s">
        <v>40</v>
      </c>
      <c r="I245">
        <v>11</v>
      </c>
      <c r="J245" s="9">
        <f t="shared" si="6"/>
        <v>46043</v>
      </c>
      <c r="K245" s="10">
        <f>INDEX(Daily_Merchant_Pivot!$B$3:$AO$32,MATCH(J245,Daily_Merchant_Pivot!$A$3:$A$32,0),MATCH(C245,Daily_Merchant_Pivot!$B$2:$AO$2,0))</f>
        <v>799</v>
      </c>
      <c r="L245" s="3" t="str">
        <f>INDEX(Merchant_Region_Map!$D$3:$D$42,MATCH(C245,Merchant_Region_Map!$A$3:$A$42,0))</f>
        <v>South</v>
      </c>
      <c r="M245" s="11" t="str">
        <f t="shared" si="7"/>
        <v/>
      </c>
    </row>
    <row r="246" spans="1:13" x14ac:dyDescent="0.25">
      <c r="A246" t="s">
        <v>288</v>
      </c>
      <c r="B246">
        <v>261</v>
      </c>
      <c r="C246">
        <v>24</v>
      </c>
      <c r="D246" s="13" t="str">
        <f>IFERROR(VLOOKUP(C246,[1]Sheet1!$A$1:$C$41,2,0),"Merchant Not Found")</f>
        <v>Merchant_024</v>
      </c>
      <c r="E246" s="7">
        <v>46043.893750000003</v>
      </c>
      <c r="F246">
        <v>799</v>
      </c>
      <c r="G246" s="8" t="s">
        <v>52</v>
      </c>
      <c r="H246" s="8" t="s">
        <v>40</v>
      </c>
      <c r="I246">
        <v>2</v>
      </c>
      <c r="J246" s="9">
        <f t="shared" si="6"/>
        <v>46043</v>
      </c>
      <c r="K246" s="10">
        <f>INDEX(Daily_Merchant_Pivot!$B$3:$AO$32,MATCH(J246,Daily_Merchant_Pivot!$A$3:$A$32,0),MATCH(C246,Daily_Merchant_Pivot!$B$2:$AO$2,0))</f>
        <v>799</v>
      </c>
      <c r="L246" s="3" t="str">
        <f>INDEX(Merchant_Region_Map!$D$3:$D$42,MATCH(C246,Merchant_Region_Map!$A$3:$A$42,0))</f>
        <v>North</v>
      </c>
      <c r="M246" s="11" t="str">
        <f t="shared" si="7"/>
        <v/>
      </c>
    </row>
    <row r="247" spans="1:13" x14ac:dyDescent="0.25">
      <c r="A247" t="s">
        <v>289</v>
      </c>
      <c r="B247">
        <v>110</v>
      </c>
      <c r="C247">
        <v>22</v>
      </c>
      <c r="D247" s="13" t="str">
        <f>IFERROR(VLOOKUP(C247,[1]Sheet1!$A$1:$C$41,2,0),"Merchant Not Found")</f>
        <v>Merchant_022</v>
      </c>
      <c r="E247" s="7">
        <v>46034.382638888899</v>
      </c>
      <c r="F247">
        <v>799</v>
      </c>
      <c r="G247" s="8" t="s">
        <v>39</v>
      </c>
      <c r="H247" s="8" t="s">
        <v>40</v>
      </c>
      <c r="I247">
        <v>98</v>
      </c>
      <c r="J247" s="9">
        <f t="shared" si="6"/>
        <v>46034</v>
      </c>
      <c r="K247" s="10">
        <f>INDEX(Daily_Merchant_Pivot!$B$3:$AO$32,MATCH(J247,Daily_Merchant_Pivot!$A$3:$A$32,0),MATCH(C247,Daily_Merchant_Pivot!$B$2:$AO$2,0))</f>
        <v>1298</v>
      </c>
      <c r="L247" s="3" t="str">
        <f>INDEX(Merchant_Region_Map!$D$3:$D$42,MATCH(C247,Merchant_Region_Map!$A$3:$A$42,0))</f>
        <v>South</v>
      </c>
      <c r="M247" s="11" t="str">
        <f t="shared" si="7"/>
        <v/>
      </c>
    </row>
    <row r="248" spans="1:13" x14ac:dyDescent="0.25">
      <c r="A248" t="s">
        <v>290</v>
      </c>
      <c r="B248">
        <v>71</v>
      </c>
      <c r="C248">
        <v>10</v>
      </c>
      <c r="D248" s="13" t="str">
        <f>IFERROR(VLOOKUP(C248,[1]Sheet1!$A$1:$C$41,2,0),"Merchant Not Found")</f>
        <v>Merchant_010</v>
      </c>
      <c r="E248" s="7">
        <v>46038.259722222203</v>
      </c>
      <c r="F248">
        <v>49</v>
      </c>
      <c r="G248" s="8" t="s">
        <v>39</v>
      </c>
      <c r="H248" s="8" t="s">
        <v>40</v>
      </c>
      <c r="I248">
        <v>9</v>
      </c>
      <c r="J248" s="9">
        <f t="shared" si="6"/>
        <v>46038</v>
      </c>
      <c r="K248" s="10">
        <f>INDEX(Daily_Merchant_Pivot!$B$3:$AO$32,MATCH(J248,Daily_Merchant_Pivot!$A$3:$A$32,0),MATCH(C248,Daily_Merchant_Pivot!$B$2:$AO$2,0))</f>
        <v>49</v>
      </c>
      <c r="L248" s="3" t="str">
        <f>INDEX(Merchant_Region_Map!$D$3:$D$42,MATCH(C248,Merchant_Region_Map!$A$3:$A$42,0))</f>
        <v>West</v>
      </c>
      <c r="M248" s="11" t="str">
        <f t="shared" si="7"/>
        <v/>
      </c>
    </row>
    <row r="249" spans="1:13" x14ac:dyDescent="0.25">
      <c r="A249" t="s">
        <v>291</v>
      </c>
      <c r="B249">
        <v>277</v>
      </c>
      <c r="C249">
        <v>34</v>
      </c>
      <c r="D249" s="13" t="str">
        <f>IFERROR(VLOOKUP(C249,[1]Sheet1!$A$1:$C$41,2,0),"Merchant Not Found")</f>
        <v>Merchant_034</v>
      </c>
      <c r="E249" s="7">
        <v>46032.1472222222</v>
      </c>
      <c r="F249">
        <v>49</v>
      </c>
      <c r="G249" s="8" t="s">
        <v>39</v>
      </c>
      <c r="H249" s="8" t="s">
        <v>40</v>
      </c>
      <c r="I249">
        <v>4</v>
      </c>
      <c r="J249" s="9">
        <f t="shared" si="6"/>
        <v>46032</v>
      </c>
      <c r="K249" s="10">
        <f>INDEX(Daily_Merchant_Pivot!$B$3:$AO$32,MATCH(J249,Daily_Merchant_Pivot!$A$3:$A$32,0),MATCH(C249,Daily_Merchant_Pivot!$B$2:$AO$2,0))</f>
        <v>49</v>
      </c>
      <c r="L249" s="3" t="str">
        <f>INDEX(Merchant_Region_Map!$D$3:$D$42,MATCH(C249,Merchant_Region_Map!$A$3:$A$42,0))</f>
        <v>South</v>
      </c>
      <c r="M249" s="11" t="str">
        <f t="shared" si="7"/>
        <v/>
      </c>
    </row>
    <row r="250" spans="1:13" x14ac:dyDescent="0.25">
      <c r="A250" t="s">
        <v>292</v>
      </c>
      <c r="B250">
        <v>93</v>
      </c>
      <c r="C250">
        <v>40</v>
      </c>
      <c r="D250" s="13" t="str">
        <f>IFERROR(VLOOKUP(C250,[1]Sheet1!$A$1:$C$41,2,0),"Merchant Not Found")</f>
        <v>Merchant_040</v>
      </c>
      <c r="E250" s="7">
        <v>46035.173611111102</v>
      </c>
      <c r="F250">
        <v>299</v>
      </c>
      <c r="G250" s="8" t="s">
        <v>39</v>
      </c>
      <c r="H250" s="8" t="s">
        <v>40</v>
      </c>
      <c r="I250">
        <v>21</v>
      </c>
      <c r="J250" s="9">
        <f t="shared" si="6"/>
        <v>46035</v>
      </c>
      <c r="K250" s="10">
        <f>INDEX(Daily_Merchant_Pivot!$B$3:$AO$32,MATCH(J250,Daily_Merchant_Pivot!$A$3:$A$32,0),MATCH(C250,Daily_Merchant_Pivot!$B$2:$AO$2,0))</f>
        <v>299</v>
      </c>
      <c r="L250" s="3" t="str">
        <f>INDEX(Merchant_Region_Map!$D$3:$D$42,MATCH(C250,Merchant_Region_Map!$A$3:$A$42,0))</f>
        <v>South</v>
      </c>
      <c r="M250" s="11" t="str">
        <f t="shared" si="7"/>
        <v/>
      </c>
    </row>
    <row r="251" spans="1:13" x14ac:dyDescent="0.25">
      <c r="A251" t="s">
        <v>293</v>
      </c>
      <c r="B251">
        <v>211</v>
      </c>
      <c r="C251">
        <v>24</v>
      </c>
      <c r="D251" s="13" t="str">
        <f>IFERROR(VLOOKUP(C251,[1]Sheet1!$A$1:$C$41,2,0),"Merchant Not Found")</f>
        <v>Merchant_024</v>
      </c>
      <c r="E251" s="7">
        <v>46046.5847222222</v>
      </c>
      <c r="F251">
        <v>99</v>
      </c>
      <c r="G251" s="8" t="s">
        <v>44</v>
      </c>
      <c r="H251" s="8" t="s">
        <v>40</v>
      </c>
      <c r="I251">
        <v>86</v>
      </c>
      <c r="J251" s="9">
        <f t="shared" si="6"/>
        <v>46046</v>
      </c>
      <c r="K251" s="10">
        <f>INDEX(Daily_Merchant_Pivot!$B$3:$AO$32,MATCH(J251,Daily_Merchant_Pivot!$A$3:$A$32,0),MATCH(C251,Daily_Merchant_Pivot!$B$2:$AO$2,0))</f>
        <v>148</v>
      </c>
      <c r="L251" s="3" t="str">
        <f>INDEX(Merchant_Region_Map!$D$3:$D$42,MATCH(C251,Merchant_Region_Map!$A$3:$A$42,0))</f>
        <v>North</v>
      </c>
      <c r="M251" s="11" t="str">
        <f t="shared" si="7"/>
        <v/>
      </c>
    </row>
    <row r="252" spans="1:13" x14ac:dyDescent="0.25">
      <c r="A252" t="s">
        <v>294</v>
      </c>
      <c r="B252">
        <v>313</v>
      </c>
      <c r="C252">
        <v>19</v>
      </c>
      <c r="D252" s="13" t="str">
        <f>IFERROR(VLOOKUP(C252,[1]Sheet1!$A$1:$C$41,2,0),"Merchant Not Found")</f>
        <v>Merchant_019</v>
      </c>
      <c r="E252" s="7">
        <v>46046.311111111099</v>
      </c>
      <c r="F252">
        <v>149</v>
      </c>
      <c r="G252" s="8" t="s">
        <v>39</v>
      </c>
      <c r="H252" s="8" t="s">
        <v>40</v>
      </c>
      <c r="I252">
        <v>96</v>
      </c>
      <c r="J252" s="9">
        <f t="shared" si="6"/>
        <v>46046</v>
      </c>
      <c r="K252" s="10">
        <f>INDEX(Daily_Merchant_Pivot!$B$3:$AO$32,MATCH(J252,Daily_Merchant_Pivot!$A$3:$A$32,0),MATCH(C252,Daily_Merchant_Pivot!$B$2:$AO$2,0))</f>
        <v>149</v>
      </c>
      <c r="L252" s="3" t="str">
        <f>INDEX(Merchant_Region_Map!$D$3:$D$42,MATCH(C252,Merchant_Region_Map!$A$3:$A$42,0))</f>
        <v>North</v>
      </c>
      <c r="M252" s="11" t="str">
        <f t="shared" si="7"/>
        <v/>
      </c>
    </row>
    <row r="253" spans="1:13" x14ac:dyDescent="0.25">
      <c r="A253" t="s">
        <v>295</v>
      </c>
      <c r="B253">
        <v>274</v>
      </c>
      <c r="C253">
        <v>16</v>
      </c>
      <c r="D253" s="13" t="str">
        <f>IFERROR(VLOOKUP(C253,[1]Sheet1!$A$1:$C$41,2,0),"Merchant Not Found")</f>
        <v>Merchant_016</v>
      </c>
      <c r="E253" s="7">
        <v>46046.593055555597</v>
      </c>
      <c r="F253">
        <v>49</v>
      </c>
      <c r="G253" s="8" t="s">
        <v>42</v>
      </c>
      <c r="H253" s="8" t="s">
        <v>53</v>
      </c>
      <c r="I253">
        <v>39</v>
      </c>
      <c r="J253" s="9">
        <f t="shared" si="6"/>
        <v>46046</v>
      </c>
      <c r="K253" s="10">
        <f>INDEX(Daily_Merchant_Pivot!$B$3:$AO$32,MATCH(J253,Daily_Merchant_Pivot!$A$3:$A$32,0),MATCH(C253,Daily_Merchant_Pivot!$B$2:$AO$2,0))</f>
        <v>1499</v>
      </c>
      <c r="L253" s="3" t="str">
        <f>INDEX(Merchant_Region_Map!$D$3:$D$42,MATCH(C253,Merchant_Region_Map!$A$3:$A$42,0))</f>
        <v>West</v>
      </c>
      <c r="M253" s="11" t="str">
        <f t="shared" si="7"/>
        <v/>
      </c>
    </row>
    <row r="254" spans="1:13" x14ac:dyDescent="0.25">
      <c r="A254" t="s">
        <v>296</v>
      </c>
      <c r="B254">
        <v>100</v>
      </c>
      <c r="C254">
        <v>24</v>
      </c>
      <c r="D254" s="13" t="str">
        <f>IFERROR(VLOOKUP(C254,[1]Sheet1!$A$1:$C$41,2,0),"Merchant Not Found")</f>
        <v>Merchant_024</v>
      </c>
      <c r="E254" s="7">
        <v>46048.664583333302</v>
      </c>
      <c r="F254">
        <v>299</v>
      </c>
      <c r="G254" s="8" t="s">
        <v>39</v>
      </c>
      <c r="H254" s="8" t="s">
        <v>40</v>
      </c>
      <c r="I254">
        <v>86</v>
      </c>
      <c r="J254" s="9">
        <f t="shared" si="6"/>
        <v>46048</v>
      </c>
      <c r="K254" s="10">
        <f>INDEX(Daily_Merchant_Pivot!$B$3:$AO$32,MATCH(J254,Daily_Merchant_Pivot!$A$3:$A$32,0),MATCH(C254,Daily_Merchant_Pivot!$B$2:$AO$2,0))</f>
        <v>348</v>
      </c>
      <c r="L254" s="3" t="str">
        <f>INDEX(Merchant_Region_Map!$D$3:$D$42,MATCH(C254,Merchant_Region_Map!$A$3:$A$42,0))</f>
        <v>North</v>
      </c>
      <c r="M254" s="11" t="str">
        <f t="shared" si="7"/>
        <v/>
      </c>
    </row>
    <row r="255" spans="1:13" x14ac:dyDescent="0.25">
      <c r="A255" t="s">
        <v>297</v>
      </c>
      <c r="B255">
        <v>145</v>
      </c>
      <c r="C255">
        <v>25</v>
      </c>
      <c r="D255" s="13" t="str">
        <f>IFERROR(VLOOKUP(C255,[1]Sheet1!$A$1:$C$41,2,0),"Merchant Not Found")</f>
        <v>Merchant_025</v>
      </c>
      <c r="E255" s="7">
        <v>46041.603472222203</v>
      </c>
      <c r="F255">
        <v>2999</v>
      </c>
      <c r="G255" s="8" t="s">
        <v>42</v>
      </c>
      <c r="H255" s="8" t="s">
        <v>40</v>
      </c>
      <c r="I255">
        <v>64</v>
      </c>
      <c r="J255" s="9">
        <f t="shared" si="6"/>
        <v>46041</v>
      </c>
      <c r="K255" s="10">
        <f>INDEX(Daily_Merchant_Pivot!$B$3:$AO$32,MATCH(J255,Daily_Merchant_Pivot!$A$3:$A$32,0),MATCH(C255,Daily_Merchant_Pivot!$B$2:$AO$2,0))</f>
        <v>2999</v>
      </c>
      <c r="L255" s="3" t="str">
        <f>INDEX(Merchant_Region_Map!$D$3:$D$42,MATCH(C255,Merchant_Region_Map!$A$3:$A$42,0))</f>
        <v>South</v>
      </c>
      <c r="M255" s="11" t="str">
        <f t="shared" si="7"/>
        <v/>
      </c>
    </row>
    <row r="256" spans="1:13" x14ac:dyDescent="0.25">
      <c r="A256" t="s">
        <v>298</v>
      </c>
      <c r="B256">
        <v>103</v>
      </c>
      <c r="C256">
        <v>39</v>
      </c>
      <c r="D256" s="13" t="str">
        <f>IFERROR(VLOOKUP(C256,[1]Sheet1!$A$1:$C$41,2,0),"Merchant Not Found")</f>
        <v>Merchant_039</v>
      </c>
      <c r="E256" s="7">
        <v>46039.548611111102</v>
      </c>
      <c r="F256">
        <v>2999</v>
      </c>
      <c r="G256" s="8" t="s">
        <v>42</v>
      </c>
      <c r="H256" s="8" t="s">
        <v>40</v>
      </c>
      <c r="I256">
        <v>17</v>
      </c>
      <c r="J256" s="9">
        <f t="shared" si="6"/>
        <v>46039</v>
      </c>
      <c r="K256" s="10">
        <f>INDEX(Daily_Merchant_Pivot!$B$3:$AO$32,MATCH(J256,Daily_Merchant_Pivot!$A$3:$A$32,0),MATCH(C256,Daily_Merchant_Pivot!$B$2:$AO$2,0))</f>
        <v>2999</v>
      </c>
      <c r="L256" s="3" t="str">
        <f>INDEX(Merchant_Region_Map!$D$3:$D$42,MATCH(C256,Merchant_Region_Map!$A$3:$A$42,0))</f>
        <v>North</v>
      </c>
      <c r="M256" s="11" t="str">
        <f t="shared" si="7"/>
        <v/>
      </c>
    </row>
    <row r="257" spans="1:13" x14ac:dyDescent="0.25">
      <c r="A257" t="s">
        <v>299</v>
      </c>
      <c r="B257">
        <v>329</v>
      </c>
      <c r="C257">
        <v>31</v>
      </c>
      <c r="D257" s="13" t="str">
        <f>IFERROR(VLOOKUP(C257,[1]Sheet1!$A$1:$C$41,2,0),"Merchant Not Found")</f>
        <v>Merchant_031</v>
      </c>
      <c r="E257" s="7">
        <v>46050.335416666698</v>
      </c>
      <c r="F257">
        <v>299</v>
      </c>
      <c r="G257" s="8" t="s">
        <v>42</v>
      </c>
      <c r="H257" s="8" t="s">
        <v>53</v>
      </c>
      <c r="I257">
        <v>47</v>
      </c>
      <c r="J257" s="9">
        <f t="shared" si="6"/>
        <v>46050</v>
      </c>
      <c r="K257" s="10">
        <f>INDEX(Daily_Merchant_Pivot!$B$3:$AO$32,MATCH(J257,Daily_Merchant_Pivot!$A$3:$A$32,0),MATCH(C257,Daily_Merchant_Pivot!$B$2:$AO$2,0))</f>
        <v>0</v>
      </c>
      <c r="L257" s="3" t="str">
        <f>INDEX(Merchant_Region_Map!$D$3:$D$42,MATCH(C257,Merchant_Region_Map!$A$3:$A$42,0))</f>
        <v>East</v>
      </c>
      <c r="M257" s="11" t="str">
        <f t="shared" si="7"/>
        <v/>
      </c>
    </row>
    <row r="258" spans="1:13" x14ac:dyDescent="0.25">
      <c r="A258" t="s">
        <v>300</v>
      </c>
      <c r="B258">
        <v>265</v>
      </c>
      <c r="C258">
        <v>8</v>
      </c>
      <c r="D258" s="13" t="str">
        <f>IFERROR(VLOOKUP(C258,[1]Sheet1!$A$1:$C$41,2,0),"Merchant Not Found")</f>
        <v>Merchant_008</v>
      </c>
      <c r="E258" s="7">
        <v>46040.15625</v>
      </c>
      <c r="F258">
        <v>499</v>
      </c>
      <c r="G258" s="8" t="s">
        <v>44</v>
      </c>
      <c r="H258" s="8" t="s">
        <v>40</v>
      </c>
      <c r="I258">
        <v>36</v>
      </c>
      <c r="J258" s="9">
        <f t="shared" si="6"/>
        <v>46040</v>
      </c>
      <c r="K258" s="10">
        <f>INDEX(Daily_Merchant_Pivot!$B$3:$AO$32,MATCH(J258,Daily_Merchant_Pivot!$A$3:$A$32,0),MATCH(C258,Daily_Merchant_Pivot!$B$2:$AO$2,0))</f>
        <v>499</v>
      </c>
      <c r="L258" s="3" t="str">
        <f>INDEX(Merchant_Region_Map!$D$3:$D$42,MATCH(C258,Merchant_Region_Map!$A$3:$A$42,0))</f>
        <v>North</v>
      </c>
      <c r="M258" s="11" t="str">
        <f t="shared" si="7"/>
        <v/>
      </c>
    </row>
    <row r="259" spans="1:13" x14ac:dyDescent="0.25">
      <c r="A259" t="s">
        <v>301</v>
      </c>
      <c r="B259">
        <v>231</v>
      </c>
      <c r="C259">
        <v>33</v>
      </c>
      <c r="D259" s="13" t="str">
        <f>IFERROR(VLOOKUP(C259,[1]Sheet1!$A$1:$C$41,2,0),"Merchant Not Found")</f>
        <v>Merchant_033</v>
      </c>
      <c r="E259" s="7">
        <v>46025.220138888901</v>
      </c>
      <c r="F259">
        <v>149</v>
      </c>
      <c r="G259" s="8" t="s">
        <v>39</v>
      </c>
      <c r="H259" s="8" t="s">
        <v>53</v>
      </c>
      <c r="I259">
        <v>18</v>
      </c>
      <c r="J259" s="9">
        <f t="shared" ref="J259:J322" si="8">INT(E259)</f>
        <v>46025</v>
      </c>
      <c r="K259" s="10">
        <f>INDEX(Daily_Merchant_Pivot!$B$3:$AO$32,MATCH(J259,Daily_Merchant_Pivot!$A$3:$A$32,0),MATCH(C259,Daily_Merchant_Pivot!$B$2:$AO$2,0))</f>
        <v>0</v>
      </c>
      <c r="L259" s="3" t="str">
        <f>INDEX(Merchant_Region_Map!$D$3:$D$42,MATCH(C259,Merchant_Region_Map!$A$3:$A$42,0))</f>
        <v>East</v>
      </c>
      <c r="M259" s="11" t="str">
        <f t="shared" ref="M259:M322" si="9">IF(AND(K259&gt;5000,L259&lt;&gt;"East"),"High-Value Merchant Day","")</f>
        <v/>
      </c>
    </row>
    <row r="260" spans="1:13" x14ac:dyDescent="0.25">
      <c r="A260" t="s">
        <v>302</v>
      </c>
      <c r="B260">
        <v>114</v>
      </c>
      <c r="C260">
        <v>29</v>
      </c>
      <c r="D260" s="13" t="str">
        <f>IFERROR(VLOOKUP(C260,[1]Sheet1!$A$1:$C$41,2,0),"Merchant Not Found")</f>
        <v>Merchant_029</v>
      </c>
      <c r="E260" s="7">
        <v>46049.545138888898</v>
      </c>
      <c r="F260">
        <v>899</v>
      </c>
      <c r="G260" s="8" t="s">
        <v>39</v>
      </c>
      <c r="H260" s="8" t="s">
        <v>66</v>
      </c>
      <c r="I260">
        <v>44</v>
      </c>
      <c r="J260" s="9">
        <f t="shared" si="8"/>
        <v>46049</v>
      </c>
      <c r="K260" s="10">
        <f>INDEX(Daily_Merchant_Pivot!$B$3:$AO$32,MATCH(J260,Daily_Merchant_Pivot!$A$3:$A$32,0),MATCH(C260,Daily_Merchant_Pivot!$B$2:$AO$2,0))</f>
        <v>99</v>
      </c>
      <c r="L260" s="3" t="str">
        <f>INDEX(Merchant_Region_Map!$D$3:$D$42,MATCH(C260,Merchant_Region_Map!$A$3:$A$42,0))</f>
        <v>North</v>
      </c>
      <c r="M260" s="11" t="str">
        <f t="shared" si="9"/>
        <v/>
      </c>
    </row>
    <row r="261" spans="1:13" x14ac:dyDescent="0.25">
      <c r="A261" t="s">
        <v>303</v>
      </c>
      <c r="B261">
        <v>28</v>
      </c>
      <c r="C261">
        <v>26</v>
      </c>
      <c r="D261" s="13" t="str">
        <f>IFERROR(VLOOKUP(C261,[1]Sheet1!$A$1:$C$41,2,0),"Merchant Not Found")</f>
        <v>Merchant_026</v>
      </c>
      <c r="E261" s="7">
        <v>46052.0180555556</v>
      </c>
      <c r="F261">
        <v>1499</v>
      </c>
      <c r="G261" s="8" t="s">
        <v>39</v>
      </c>
      <c r="H261" s="8" t="s">
        <v>53</v>
      </c>
      <c r="I261">
        <v>64</v>
      </c>
      <c r="J261" s="9">
        <f t="shared" si="8"/>
        <v>46052</v>
      </c>
      <c r="K261" s="10">
        <f>INDEX(Daily_Merchant_Pivot!$B$3:$AO$32,MATCH(J261,Daily_Merchant_Pivot!$A$3:$A$32,0),MATCH(C261,Daily_Merchant_Pivot!$B$2:$AO$2,0))</f>
        <v>0</v>
      </c>
      <c r="L261" s="3" t="str">
        <f>INDEX(Merchant_Region_Map!$D$3:$D$42,MATCH(C261,Merchant_Region_Map!$A$3:$A$42,0))</f>
        <v>East</v>
      </c>
      <c r="M261" s="11" t="str">
        <f t="shared" si="9"/>
        <v/>
      </c>
    </row>
    <row r="262" spans="1:13" x14ac:dyDescent="0.25">
      <c r="A262" t="s">
        <v>304</v>
      </c>
      <c r="B262">
        <v>42</v>
      </c>
      <c r="C262">
        <v>24</v>
      </c>
      <c r="D262" s="13" t="str">
        <f>IFERROR(VLOOKUP(C262,[1]Sheet1!$A$1:$C$41,2,0),"Merchant Not Found")</f>
        <v>Merchant_024</v>
      </c>
      <c r="E262" s="7">
        <v>46034.308333333298</v>
      </c>
      <c r="F262">
        <v>149</v>
      </c>
      <c r="G262" s="8" t="s">
        <v>39</v>
      </c>
      <c r="H262" s="8" t="s">
        <v>40</v>
      </c>
      <c r="I262">
        <v>28</v>
      </c>
      <c r="J262" s="9">
        <f t="shared" si="8"/>
        <v>46034</v>
      </c>
      <c r="K262" s="10">
        <f>INDEX(Daily_Merchant_Pivot!$B$3:$AO$32,MATCH(J262,Daily_Merchant_Pivot!$A$3:$A$32,0),MATCH(C262,Daily_Merchant_Pivot!$B$2:$AO$2,0))</f>
        <v>149</v>
      </c>
      <c r="L262" s="3" t="str">
        <f>INDEX(Merchant_Region_Map!$D$3:$D$42,MATCH(C262,Merchant_Region_Map!$A$3:$A$42,0))</f>
        <v>North</v>
      </c>
      <c r="M262" s="11" t="str">
        <f t="shared" si="9"/>
        <v/>
      </c>
    </row>
    <row r="263" spans="1:13" x14ac:dyDescent="0.25">
      <c r="A263" t="s">
        <v>305</v>
      </c>
      <c r="B263">
        <v>51</v>
      </c>
      <c r="C263">
        <v>22</v>
      </c>
      <c r="D263" s="13" t="str">
        <f>IFERROR(VLOOKUP(C263,[1]Sheet1!$A$1:$C$41,2,0),"Merchant Not Found")</f>
        <v>Merchant_022</v>
      </c>
      <c r="E263" s="7">
        <v>46023.457638888904</v>
      </c>
      <c r="F263">
        <v>799</v>
      </c>
      <c r="G263" s="8" t="s">
        <v>39</v>
      </c>
      <c r="H263" s="8" t="s">
        <v>40</v>
      </c>
      <c r="I263">
        <v>18</v>
      </c>
      <c r="J263" s="9">
        <f t="shared" si="8"/>
        <v>46023</v>
      </c>
      <c r="K263" s="10">
        <f>INDEX(Daily_Merchant_Pivot!$B$3:$AO$32,MATCH(J263,Daily_Merchant_Pivot!$A$3:$A$32,0),MATCH(C263,Daily_Merchant_Pivot!$B$2:$AO$2,0))</f>
        <v>799</v>
      </c>
      <c r="L263" s="3" t="str">
        <f>INDEX(Merchant_Region_Map!$D$3:$D$42,MATCH(C263,Merchant_Region_Map!$A$3:$A$42,0))</f>
        <v>South</v>
      </c>
      <c r="M263" s="11" t="str">
        <f t="shared" si="9"/>
        <v/>
      </c>
    </row>
    <row r="264" spans="1:13" x14ac:dyDescent="0.25">
      <c r="A264" t="s">
        <v>306</v>
      </c>
      <c r="B264">
        <v>242</v>
      </c>
      <c r="C264">
        <v>9</v>
      </c>
      <c r="D264" s="13" t="str">
        <f>IFERROR(VLOOKUP(C264,[1]Sheet1!$A$1:$C$41,2,0),"Merchant Not Found")</f>
        <v>Merchant_009</v>
      </c>
      <c r="E264" s="7">
        <v>46027.054166666698</v>
      </c>
      <c r="F264">
        <v>149</v>
      </c>
      <c r="G264" s="8" t="s">
        <v>39</v>
      </c>
      <c r="H264" s="8" t="s">
        <v>40</v>
      </c>
      <c r="I264">
        <v>97</v>
      </c>
      <c r="J264" s="9">
        <f t="shared" si="8"/>
        <v>46027</v>
      </c>
      <c r="K264" s="10">
        <f>INDEX(Daily_Merchant_Pivot!$B$3:$AO$32,MATCH(J264,Daily_Merchant_Pivot!$A$3:$A$32,0),MATCH(C264,Daily_Merchant_Pivot!$B$2:$AO$2,0))</f>
        <v>149</v>
      </c>
      <c r="L264" s="3" t="str">
        <f>INDEX(Merchant_Region_Map!$D$3:$D$42,MATCH(C264,Merchant_Region_Map!$A$3:$A$42,0))</f>
        <v>North</v>
      </c>
      <c r="M264" s="11" t="str">
        <f t="shared" si="9"/>
        <v/>
      </c>
    </row>
    <row r="265" spans="1:13" x14ac:dyDescent="0.25">
      <c r="A265" t="s">
        <v>307</v>
      </c>
      <c r="B265">
        <v>316</v>
      </c>
      <c r="C265">
        <v>1</v>
      </c>
      <c r="D265" s="13" t="str">
        <f>IFERROR(VLOOKUP(C265,[1]Sheet1!$A$1:$C$41,2,0),"Merchant Not Found")</f>
        <v>Merchant_001</v>
      </c>
      <c r="E265" s="7">
        <v>46045.644444444399</v>
      </c>
      <c r="F265">
        <v>149</v>
      </c>
      <c r="G265" s="8" t="s">
        <v>39</v>
      </c>
      <c r="H265" s="8" t="s">
        <v>40</v>
      </c>
      <c r="I265">
        <v>10</v>
      </c>
      <c r="J265" s="9">
        <f t="shared" si="8"/>
        <v>46045</v>
      </c>
      <c r="K265" s="10">
        <f>INDEX(Daily_Merchant_Pivot!$B$3:$AO$32,MATCH(J265,Daily_Merchant_Pivot!$A$3:$A$32,0),MATCH(C265,Daily_Merchant_Pivot!$B$2:$AO$2,0))</f>
        <v>3148</v>
      </c>
      <c r="L265" s="3" t="str">
        <f>INDEX(Merchant_Region_Map!$D$3:$D$42,MATCH(C265,Merchant_Region_Map!$A$3:$A$42,0))</f>
        <v>South</v>
      </c>
      <c r="M265" s="11" t="str">
        <f t="shared" si="9"/>
        <v/>
      </c>
    </row>
    <row r="266" spans="1:13" x14ac:dyDescent="0.25">
      <c r="A266" t="s">
        <v>308</v>
      </c>
      <c r="B266">
        <v>77</v>
      </c>
      <c r="C266">
        <v>36</v>
      </c>
      <c r="D266" s="13" t="str">
        <f>IFERROR(VLOOKUP(C266,[1]Sheet1!$A$1:$C$41,2,0),"Merchant Not Found")</f>
        <v>Merchant_036</v>
      </c>
      <c r="E266" s="7">
        <v>46023.342361111099</v>
      </c>
      <c r="F266">
        <v>149</v>
      </c>
      <c r="G266" s="8" t="s">
        <v>39</v>
      </c>
      <c r="H266" s="8" t="s">
        <v>40</v>
      </c>
      <c r="I266">
        <v>93</v>
      </c>
      <c r="J266" s="9">
        <f t="shared" si="8"/>
        <v>46023</v>
      </c>
      <c r="K266" s="10">
        <f>INDEX(Daily_Merchant_Pivot!$B$3:$AO$32,MATCH(J266,Daily_Merchant_Pivot!$A$3:$A$32,0),MATCH(C266,Daily_Merchant_Pivot!$B$2:$AO$2,0))</f>
        <v>149</v>
      </c>
      <c r="L266" s="3" t="str">
        <f>INDEX(Merchant_Region_Map!$D$3:$D$42,MATCH(C266,Merchant_Region_Map!$A$3:$A$42,0))</f>
        <v>East</v>
      </c>
      <c r="M266" s="11" t="str">
        <f t="shared" si="9"/>
        <v/>
      </c>
    </row>
    <row r="267" spans="1:13" x14ac:dyDescent="0.25">
      <c r="A267" t="s">
        <v>309</v>
      </c>
      <c r="B267">
        <v>57</v>
      </c>
      <c r="C267">
        <v>19</v>
      </c>
      <c r="D267" s="13" t="str">
        <f>IFERROR(VLOOKUP(C267,[1]Sheet1!$A$1:$C$41,2,0),"Merchant Not Found")</f>
        <v>Merchant_019</v>
      </c>
      <c r="E267" s="7">
        <v>46042.685416666704</v>
      </c>
      <c r="F267">
        <v>49</v>
      </c>
      <c r="G267" s="8" t="s">
        <v>39</v>
      </c>
      <c r="H267" s="8" t="s">
        <v>40</v>
      </c>
      <c r="I267">
        <v>30</v>
      </c>
      <c r="J267" s="9">
        <f t="shared" si="8"/>
        <v>46042</v>
      </c>
      <c r="K267" s="10">
        <f>INDEX(Daily_Merchant_Pivot!$B$3:$AO$32,MATCH(J267,Daily_Merchant_Pivot!$A$3:$A$32,0),MATCH(C267,Daily_Merchant_Pivot!$B$2:$AO$2,0))</f>
        <v>348</v>
      </c>
      <c r="L267" s="3" t="str">
        <f>INDEX(Merchant_Region_Map!$D$3:$D$42,MATCH(C267,Merchant_Region_Map!$A$3:$A$42,0))</f>
        <v>North</v>
      </c>
      <c r="M267" s="11" t="str">
        <f t="shared" si="9"/>
        <v/>
      </c>
    </row>
    <row r="268" spans="1:13" x14ac:dyDescent="0.25">
      <c r="A268" t="s">
        <v>310</v>
      </c>
      <c r="B268">
        <v>123</v>
      </c>
      <c r="C268">
        <v>27</v>
      </c>
      <c r="D268" s="13" t="str">
        <f>IFERROR(VLOOKUP(C268,[1]Sheet1!$A$1:$C$41,2,0),"Merchant Not Found")</f>
        <v>Merchant_027</v>
      </c>
      <c r="E268" s="7">
        <v>46032.127083333296</v>
      </c>
      <c r="F268">
        <v>99</v>
      </c>
      <c r="G268" s="8" t="s">
        <v>44</v>
      </c>
      <c r="H268" s="8" t="s">
        <v>40</v>
      </c>
      <c r="I268">
        <v>81</v>
      </c>
      <c r="J268" s="9">
        <f t="shared" si="8"/>
        <v>46032</v>
      </c>
      <c r="K268" s="10">
        <f>INDEX(Daily_Merchant_Pivot!$B$3:$AO$32,MATCH(J268,Daily_Merchant_Pivot!$A$3:$A$32,0),MATCH(C268,Daily_Merchant_Pivot!$B$2:$AO$2,0))</f>
        <v>99</v>
      </c>
      <c r="L268" s="3" t="str">
        <f>INDEX(Merchant_Region_Map!$D$3:$D$42,MATCH(C268,Merchant_Region_Map!$A$3:$A$42,0))</f>
        <v>North</v>
      </c>
      <c r="M268" s="11" t="str">
        <f t="shared" si="9"/>
        <v/>
      </c>
    </row>
    <row r="269" spans="1:13" x14ac:dyDescent="0.25">
      <c r="A269" t="s">
        <v>311</v>
      </c>
      <c r="B269">
        <v>33</v>
      </c>
      <c r="C269">
        <v>8</v>
      </c>
      <c r="D269" s="13" t="str">
        <f>IFERROR(VLOOKUP(C269,[1]Sheet1!$A$1:$C$41,2,0),"Merchant Not Found")</f>
        <v>Merchant_008</v>
      </c>
      <c r="E269" s="7">
        <v>46048.811805555597</v>
      </c>
      <c r="F269">
        <v>299</v>
      </c>
      <c r="G269" s="8" t="s">
        <v>42</v>
      </c>
      <c r="H269" s="8" t="s">
        <v>40</v>
      </c>
      <c r="I269">
        <v>63</v>
      </c>
      <c r="J269" s="9">
        <f t="shared" si="8"/>
        <v>46048</v>
      </c>
      <c r="K269" s="10">
        <f>INDEX(Daily_Merchant_Pivot!$B$3:$AO$32,MATCH(J269,Daily_Merchant_Pivot!$A$3:$A$32,0),MATCH(C269,Daily_Merchant_Pivot!$B$2:$AO$2,0))</f>
        <v>598</v>
      </c>
      <c r="L269" s="3" t="str">
        <f>INDEX(Merchant_Region_Map!$D$3:$D$42,MATCH(C269,Merchant_Region_Map!$A$3:$A$42,0))</f>
        <v>North</v>
      </c>
      <c r="M269" s="11" t="str">
        <f t="shared" si="9"/>
        <v/>
      </c>
    </row>
    <row r="270" spans="1:13" x14ac:dyDescent="0.25">
      <c r="A270" t="s">
        <v>312</v>
      </c>
      <c r="B270">
        <v>324</v>
      </c>
      <c r="C270">
        <v>33</v>
      </c>
      <c r="D270" s="13" t="str">
        <f>IFERROR(VLOOKUP(C270,[1]Sheet1!$A$1:$C$41,2,0),"Merchant Not Found")</f>
        <v>Merchant_033</v>
      </c>
      <c r="E270" s="7">
        <v>46042.709027777797</v>
      </c>
      <c r="F270">
        <v>499</v>
      </c>
      <c r="G270" s="8" t="s">
        <v>39</v>
      </c>
      <c r="H270" s="8" t="s">
        <v>40</v>
      </c>
      <c r="I270">
        <v>73</v>
      </c>
      <c r="J270" s="9">
        <f t="shared" si="8"/>
        <v>46042</v>
      </c>
      <c r="K270" s="10">
        <f>INDEX(Daily_Merchant_Pivot!$B$3:$AO$32,MATCH(J270,Daily_Merchant_Pivot!$A$3:$A$32,0),MATCH(C270,Daily_Merchant_Pivot!$B$2:$AO$2,0))</f>
        <v>499</v>
      </c>
      <c r="L270" s="3" t="str">
        <f>INDEX(Merchant_Region_Map!$D$3:$D$42,MATCH(C270,Merchant_Region_Map!$A$3:$A$42,0))</f>
        <v>East</v>
      </c>
      <c r="M270" s="11" t="str">
        <f t="shared" si="9"/>
        <v/>
      </c>
    </row>
    <row r="271" spans="1:13" x14ac:dyDescent="0.25">
      <c r="A271" t="s">
        <v>313</v>
      </c>
      <c r="B271">
        <v>150</v>
      </c>
      <c r="C271">
        <v>28</v>
      </c>
      <c r="D271" s="13" t="str">
        <f>IFERROR(VLOOKUP(C271,[1]Sheet1!$A$1:$C$41,2,0),"Merchant Not Found")</f>
        <v>Merchant_028</v>
      </c>
      <c r="E271" s="7">
        <v>46030.922916666699</v>
      </c>
      <c r="F271">
        <v>49</v>
      </c>
      <c r="G271" s="8" t="s">
        <v>39</v>
      </c>
      <c r="H271" s="8" t="s">
        <v>53</v>
      </c>
      <c r="I271">
        <v>0</v>
      </c>
      <c r="J271" s="9">
        <f t="shared" si="8"/>
        <v>46030</v>
      </c>
      <c r="K271" s="10">
        <f>INDEX(Daily_Merchant_Pivot!$B$3:$AO$32,MATCH(J271,Daily_Merchant_Pivot!$A$3:$A$32,0),MATCH(C271,Daily_Merchant_Pivot!$B$2:$AO$2,0))</f>
        <v>0</v>
      </c>
      <c r="L271" s="3" t="str">
        <f>INDEX(Merchant_Region_Map!$D$3:$D$42,MATCH(C271,Merchant_Region_Map!$A$3:$A$42,0))</f>
        <v>South</v>
      </c>
      <c r="M271" s="11" t="str">
        <f t="shared" si="9"/>
        <v/>
      </c>
    </row>
    <row r="272" spans="1:13" x14ac:dyDescent="0.25">
      <c r="A272" t="s">
        <v>314</v>
      </c>
      <c r="B272">
        <v>293</v>
      </c>
      <c r="C272">
        <v>27</v>
      </c>
      <c r="D272" s="13" t="str">
        <f>IFERROR(VLOOKUP(C272,[1]Sheet1!$A$1:$C$41,2,0),"Merchant Not Found")</f>
        <v>Merchant_027</v>
      </c>
      <c r="E272" s="7">
        <v>46042.46875</v>
      </c>
      <c r="F272">
        <v>4999</v>
      </c>
      <c r="G272" s="8" t="s">
        <v>39</v>
      </c>
      <c r="H272" s="8" t="s">
        <v>40</v>
      </c>
      <c r="I272">
        <v>23</v>
      </c>
      <c r="J272" s="9">
        <f t="shared" si="8"/>
        <v>46042</v>
      </c>
      <c r="K272" s="10">
        <f>INDEX(Daily_Merchant_Pivot!$B$3:$AO$32,MATCH(J272,Daily_Merchant_Pivot!$A$3:$A$32,0),MATCH(C272,Daily_Merchant_Pivot!$B$2:$AO$2,0))</f>
        <v>4999</v>
      </c>
      <c r="L272" s="3" t="str">
        <f>INDEX(Merchant_Region_Map!$D$3:$D$42,MATCH(C272,Merchant_Region_Map!$A$3:$A$42,0))</f>
        <v>North</v>
      </c>
      <c r="M272" s="11" t="str">
        <f t="shared" si="9"/>
        <v/>
      </c>
    </row>
    <row r="273" spans="1:13" x14ac:dyDescent="0.25">
      <c r="A273" t="s">
        <v>315</v>
      </c>
      <c r="B273">
        <v>269</v>
      </c>
      <c r="C273">
        <v>24</v>
      </c>
      <c r="D273" s="13" t="str">
        <f>IFERROR(VLOOKUP(C273,[1]Sheet1!$A$1:$C$41,2,0),"Merchant Not Found")</f>
        <v>Merchant_024</v>
      </c>
      <c r="E273" s="7">
        <v>46044.878472222197</v>
      </c>
      <c r="F273">
        <v>49</v>
      </c>
      <c r="G273" s="8" t="s">
        <v>42</v>
      </c>
      <c r="H273" s="8" t="s">
        <v>40</v>
      </c>
      <c r="I273">
        <v>8</v>
      </c>
      <c r="J273" s="9">
        <f t="shared" si="8"/>
        <v>46044</v>
      </c>
      <c r="K273" s="10">
        <f>INDEX(Daily_Merchant_Pivot!$B$3:$AO$32,MATCH(J273,Daily_Merchant_Pivot!$A$3:$A$32,0),MATCH(C273,Daily_Merchant_Pivot!$B$2:$AO$2,0))</f>
        <v>49</v>
      </c>
      <c r="L273" s="3" t="str">
        <f>INDEX(Merchant_Region_Map!$D$3:$D$42,MATCH(C273,Merchant_Region_Map!$A$3:$A$42,0))</f>
        <v>North</v>
      </c>
      <c r="M273" s="11" t="str">
        <f t="shared" si="9"/>
        <v/>
      </c>
    </row>
    <row r="274" spans="1:13" x14ac:dyDescent="0.25">
      <c r="A274" t="s">
        <v>316</v>
      </c>
      <c r="B274">
        <v>260</v>
      </c>
      <c r="C274">
        <v>36</v>
      </c>
      <c r="D274" s="13" t="str">
        <f>IFERROR(VLOOKUP(C274,[1]Sheet1!$A$1:$C$41,2,0),"Merchant Not Found")</f>
        <v>Merchant_036</v>
      </c>
      <c r="E274" s="7">
        <v>46039.730555555601</v>
      </c>
      <c r="F274">
        <v>1399</v>
      </c>
      <c r="G274" s="8" t="s">
        <v>39</v>
      </c>
      <c r="H274" s="8" t="s">
        <v>40</v>
      </c>
      <c r="I274">
        <v>2</v>
      </c>
      <c r="J274" s="9">
        <f t="shared" si="8"/>
        <v>46039</v>
      </c>
      <c r="K274" s="10">
        <f>INDEX(Daily_Merchant_Pivot!$B$3:$AO$32,MATCH(J274,Daily_Merchant_Pivot!$A$3:$A$32,0),MATCH(C274,Daily_Merchant_Pivot!$B$2:$AO$2,0))</f>
        <v>1399</v>
      </c>
      <c r="L274" s="3" t="str">
        <f>INDEX(Merchant_Region_Map!$D$3:$D$42,MATCH(C274,Merchant_Region_Map!$A$3:$A$42,0))</f>
        <v>East</v>
      </c>
      <c r="M274" s="11" t="str">
        <f t="shared" si="9"/>
        <v/>
      </c>
    </row>
    <row r="275" spans="1:13" x14ac:dyDescent="0.25">
      <c r="A275" t="s">
        <v>317</v>
      </c>
      <c r="B275">
        <v>326</v>
      </c>
      <c r="C275">
        <v>25</v>
      </c>
      <c r="D275" s="13" t="str">
        <f>IFERROR(VLOOKUP(C275,[1]Sheet1!$A$1:$C$41,2,0),"Merchant Not Found")</f>
        <v>Merchant_025</v>
      </c>
      <c r="E275" s="7">
        <v>46035.626388888901</v>
      </c>
      <c r="F275">
        <v>49</v>
      </c>
      <c r="G275" s="8" t="s">
        <v>39</v>
      </c>
      <c r="H275" s="8" t="s">
        <v>40</v>
      </c>
      <c r="I275">
        <v>47</v>
      </c>
      <c r="J275" s="9">
        <f t="shared" si="8"/>
        <v>46035</v>
      </c>
      <c r="K275" s="10">
        <f>INDEX(Daily_Merchant_Pivot!$B$3:$AO$32,MATCH(J275,Daily_Merchant_Pivot!$A$3:$A$32,0),MATCH(C275,Daily_Merchant_Pivot!$B$2:$AO$2,0))</f>
        <v>49</v>
      </c>
      <c r="L275" s="3" t="str">
        <f>INDEX(Merchant_Region_Map!$D$3:$D$42,MATCH(C275,Merchant_Region_Map!$A$3:$A$42,0))</f>
        <v>South</v>
      </c>
      <c r="M275" s="11" t="str">
        <f t="shared" si="9"/>
        <v/>
      </c>
    </row>
    <row r="276" spans="1:13" x14ac:dyDescent="0.25">
      <c r="A276" t="s">
        <v>318</v>
      </c>
      <c r="B276">
        <v>183</v>
      </c>
      <c r="C276">
        <v>5</v>
      </c>
      <c r="D276" s="13" t="str">
        <f>IFERROR(VLOOKUP(C276,[1]Sheet1!$A$1:$C$41,2,0),"Merchant Not Found")</f>
        <v>Merchant_005</v>
      </c>
      <c r="E276" s="7">
        <v>46031.959027777797</v>
      </c>
      <c r="F276">
        <v>149</v>
      </c>
      <c r="G276" s="8" t="s">
        <v>52</v>
      </c>
      <c r="H276" s="8" t="s">
        <v>40</v>
      </c>
      <c r="I276">
        <v>44</v>
      </c>
      <c r="J276" s="9">
        <f t="shared" si="8"/>
        <v>46031</v>
      </c>
      <c r="K276" s="10">
        <f>INDEX(Daily_Merchant_Pivot!$B$3:$AO$32,MATCH(J276,Daily_Merchant_Pivot!$A$3:$A$32,0),MATCH(C276,Daily_Merchant_Pivot!$B$2:$AO$2,0))</f>
        <v>448</v>
      </c>
      <c r="L276" s="3" t="str">
        <f>INDEX(Merchant_Region_Map!$D$3:$D$42,MATCH(C276,Merchant_Region_Map!$A$3:$A$42,0))</f>
        <v>South</v>
      </c>
      <c r="M276" s="11" t="str">
        <f t="shared" si="9"/>
        <v/>
      </c>
    </row>
    <row r="277" spans="1:13" x14ac:dyDescent="0.25">
      <c r="A277" t="s">
        <v>319</v>
      </c>
      <c r="B277">
        <v>322</v>
      </c>
      <c r="C277">
        <v>7</v>
      </c>
      <c r="D277" s="13" t="str">
        <f>IFERROR(VLOOKUP(C277,[1]Sheet1!$A$1:$C$41,2,0),"Merchant Not Found")</f>
        <v>Merchant_007</v>
      </c>
      <c r="E277" s="7">
        <v>46030.987500000003</v>
      </c>
      <c r="F277">
        <v>299</v>
      </c>
      <c r="G277" s="8" t="s">
        <v>39</v>
      </c>
      <c r="H277" s="8" t="s">
        <v>40</v>
      </c>
      <c r="I277">
        <v>98</v>
      </c>
      <c r="J277" s="9">
        <f t="shared" si="8"/>
        <v>46030</v>
      </c>
      <c r="K277" s="10">
        <f>INDEX(Daily_Merchant_Pivot!$B$3:$AO$32,MATCH(J277,Daily_Merchant_Pivot!$A$3:$A$32,0),MATCH(C277,Daily_Merchant_Pivot!$B$2:$AO$2,0))</f>
        <v>299</v>
      </c>
      <c r="L277" s="3" t="str">
        <f>INDEX(Merchant_Region_Map!$D$3:$D$42,MATCH(C277,Merchant_Region_Map!$A$3:$A$42,0))</f>
        <v>East</v>
      </c>
      <c r="M277" s="11" t="str">
        <f t="shared" si="9"/>
        <v/>
      </c>
    </row>
    <row r="278" spans="1:13" x14ac:dyDescent="0.25">
      <c r="A278" t="s">
        <v>320</v>
      </c>
      <c r="B278">
        <v>330</v>
      </c>
      <c r="C278">
        <v>12</v>
      </c>
      <c r="D278" s="13" t="str">
        <f>IFERROR(VLOOKUP(C278,[1]Sheet1!$A$1:$C$41,2,0),"Merchant Not Found")</f>
        <v>Merchant_012</v>
      </c>
      <c r="E278" s="7">
        <v>46034.722916666702</v>
      </c>
      <c r="F278">
        <v>1499</v>
      </c>
      <c r="G278" s="8" t="s">
        <v>44</v>
      </c>
      <c r="H278" s="8" t="s">
        <v>40</v>
      </c>
      <c r="I278">
        <v>99</v>
      </c>
      <c r="J278" s="9">
        <f t="shared" si="8"/>
        <v>46034</v>
      </c>
      <c r="K278" s="10">
        <f>INDEX(Daily_Merchant_Pivot!$B$3:$AO$32,MATCH(J278,Daily_Merchant_Pivot!$A$3:$A$32,0),MATCH(C278,Daily_Merchant_Pivot!$B$2:$AO$2,0))</f>
        <v>1499</v>
      </c>
      <c r="L278" s="3" t="str">
        <f>INDEX(Merchant_Region_Map!$D$3:$D$42,MATCH(C278,Merchant_Region_Map!$A$3:$A$42,0))</f>
        <v>East</v>
      </c>
      <c r="M278" s="11" t="str">
        <f t="shared" si="9"/>
        <v/>
      </c>
    </row>
    <row r="279" spans="1:13" x14ac:dyDescent="0.25">
      <c r="A279" t="s">
        <v>321</v>
      </c>
      <c r="B279">
        <v>246</v>
      </c>
      <c r="C279">
        <v>12</v>
      </c>
      <c r="D279" s="13" t="str">
        <f>IFERROR(VLOOKUP(C279,[1]Sheet1!$A$1:$C$41,2,0),"Merchant Not Found")</f>
        <v>Merchant_012</v>
      </c>
      <c r="E279" s="7">
        <v>46044.613888888904</v>
      </c>
      <c r="F279">
        <v>99</v>
      </c>
      <c r="G279" s="8" t="s">
        <v>42</v>
      </c>
      <c r="H279" s="8" t="s">
        <v>40</v>
      </c>
      <c r="I279">
        <v>17</v>
      </c>
      <c r="J279" s="9">
        <f t="shared" si="8"/>
        <v>46044</v>
      </c>
      <c r="K279" s="10">
        <f>INDEX(Daily_Merchant_Pivot!$B$3:$AO$32,MATCH(J279,Daily_Merchant_Pivot!$A$3:$A$32,0),MATCH(C279,Daily_Merchant_Pivot!$B$2:$AO$2,0))</f>
        <v>99</v>
      </c>
      <c r="L279" s="3" t="str">
        <f>INDEX(Merchant_Region_Map!$D$3:$D$42,MATCH(C279,Merchant_Region_Map!$A$3:$A$42,0))</f>
        <v>East</v>
      </c>
      <c r="M279" s="11" t="str">
        <f t="shared" si="9"/>
        <v/>
      </c>
    </row>
    <row r="280" spans="1:13" x14ac:dyDescent="0.25">
      <c r="A280" t="s">
        <v>322</v>
      </c>
      <c r="B280">
        <v>235</v>
      </c>
      <c r="C280">
        <v>3</v>
      </c>
      <c r="D280" s="13" t="str">
        <f>IFERROR(VLOOKUP(C280,[1]Sheet1!$A$1:$C$41,2,0),"Merchant Not Found")</f>
        <v>Merchant_003</v>
      </c>
      <c r="E280" s="7">
        <v>46025.9506944444</v>
      </c>
      <c r="F280">
        <v>49</v>
      </c>
      <c r="G280" s="8" t="s">
        <v>39</v>
      </c>
      <c r="H280" s="8" t="s">
        <v>40</v>
      </c>
      <c r="I280">
        <v>37</v>
      </c>
      <c r="J280" s="9">
        <f t="shared" si="8"/>
        <v>46025</v>
      </c>
      <c r="K280" s="10">
        <f>INDEX(Daily_Merchant_Pivot!$B$3:$AO$32,MATCH(J280,Daily_Merchant_Pivot!$A$3:$A$32,0),MATCH(C280,Daily_Merchant_Pivot!$B$2:$AO$2,0))</f>
        <v>198</v>
      </c>
      <c r="L280" s="3" t="str">
        <f>INDEX(Merchant_Region_Map!$D$3:$D$42,MATCH(C280,Merchant_Region_Map!$A$3:$A$42,0))</f>
        <v>East</v>
      </c>
      <c r="M280" s="11" t="str">
        <f t="shared" si="9"/>
        <v/>
      </c>
    </row>
    <row r="281" spans="1:13" x14ac:dyDescent="0.25">
      <c r="A281" t="s">
        <v>323</v>
      </c>
      <c r="B281">
        <v>103</v>
      </c>
      <c r="C281">
        <v>3</v>
      </c>
      <c r="D281" s="13" t="str">
        <f>IFERROR(VLOOKUP(C281,[1]Sheet1!$A$1:$C$41,2,0),"Merchant Not Found")</f>
        <v>Merchant_003</v>
      </c>
      <c r="E281" s="7">
        <v>46029.076388888898</v>
      </c>
      <c r="F281">
        <v>499</v>
      </c>
      <c r="G281" s="8" t="s">
        <v>39</v>
      </c>
      <c r="H281" s="8" t="s">
        <v>40</v>
      </c>
      <c r="I281">
        <v>40</v>
      </c>
      <c r="J281" s="9">
        <f t="shared" si="8"/>
        <v>46029</v>
      </c>
      <c r="K281" s="10">
        <f>INDEX(Daily_Merchant_Pivot!$B$3:$AO$32,MATCH(J281,Daily_Merchant_Pivot!$A$3:$A$32,0),MATCH(C281,Daily_Merchant_Pivot!$B$2:$AO$2,0))</f>
        <v>798</v>
      </c>
      <c r="L281" s="3" t="str">
        <f>INDEX(Merchant_Region_Map!$D$3:$D$42,MATCH(C281,Merchant_Region_Map!$A$3:$A$42,0))</f>
        <v>East</v>
      </c>
      <c r="M281" s="11" t="str">
        <f t="shared" si="9"/>
        <v/>
      </c>
    </row>
    <row r="282" spans="1:13" x14ac:dyDescent="0.25">
      <c r="A282" t="s">
        <v>324</v>
      </c>
      <c r="B282">
        <v>204</v>
      </c>
      <c r="C282">
        <v>35</v>
      </c>
      <c r="D282" s="13" t="str">
        <f>IFERROR(VLOOKUP(C282,[1]Sheet1!$A$1:$C$41,2,0),"Merchant Not Found")</f>
        <v>Merchant_035</v>
      </c>
      <c r="E282" s="7">
        <v>46052.3972222222</v>
      </c>
      <c r="F282">
        <v>99</v>
      </c>
      <c r="G282" s="8" t="s">
        <v>42</v>
      </c>
      <c r="H282" s="8" t="s">
        <v>40</v>
      </c>
      <c r="I282">
        <v>60</v>
      </c>
      <c r="J282" s="9">
        <f t="shared" si="8"/>
        <v>46052</v>
      </c>
      <c r="K282" s="10">
        <f>INDEX(Daily_Merchant_Pivot!$B$3:$AO$32,MATCH(J282,Daily_Merchant_Pivot!$A$3:$A$32,0),MATCH(C282,Daily_Merchant_Pivot!$B$2:$AO$2,0))</f>
        <v>99</v>
      </c>
      <c r="L282" s="3" t="str">
        <f>INDEX(Merchant_Region_Map!$D$3:$D$42,MATCH(C282,Merchant_Region_Map!$A$3:$A$42,0))</f>
        <v>East</v>
      </c>
      <c r="M282" s="11" t="str">
        <f t="shared" si="9"/>
        <v/>
      </c>
    </row>
    <row r="283" spans="1:13" x14ac:dyDescent="0.25">
      <c r="A283" t="s">
        <v>325</v>
      </c>
      <c r="B283">
        <v>332</v>
      </c>
      <c r="C283">
        <v>13</v>
      </c>
      <c r="D283" s="13" t="str">
        <f>IFERROR(VLOOKUP(C283,[1]Sheet1!$A$1:$C$41,2,0),"Merchant Not Found")</f>
        <v>Merchant_013</v>
      </c>
      <c r="E283" s="7">
        <v>46031.074999999997</v>
      </c>
      <c r="F283">
        <v>49</v>
      </c>
      <c r="G283" s="8" t="s">
        <v>52</v>
      </c>
      <c r="H283" s="8" t="s">
        <v>40</v>
      </c>
      <c r="I283">
        <v>36</v>
      </c>
      <c r="J283" s="9">
        <f t="shared" si="8"/>
        <v>46031</v>
      </c>
      <c r="K283" s="10">
        <f>INDEX(Daily_Merchant_Pivot!$B$3:$AO$32,MATCH(J283,Daily_Merchant_Pivot!$A$3:$A$32,0),MATCH(C283,Daily_Merchant_Pivot!$B$2:$AO$2,0))</f>
        <v>198</v>
      </c>
      <c r="L283" s="3" t="str">
        <f>INDEX(Merchant_Region_Map!$D$3:$D$42,MATCH(C283,Merchant_Region_Map!$A$3:$A$42,0))</f>
        <v>East</v>
      </c>
      <c r="M283" s="11" t="str">
        <f t="shared" si="9"/>
        <v/>
      </c>
    </row>
    <row r="284" spans="1:13" x14ac:dyDescent="0.25">
      <c r="A284" t="s">
        <v>326</v>
      </c>
      <c r="B284">
        <v>336</v>
      </c>
      <c r="C284">
        <v>22</v>
      </c>
      <c r="D284" s="13" t="str">
        <f>IFERROR(VLOOKUP(C284,[1]Sheet1!$A$1:$C$41,2,0),"Merchant Not Found")</f>
        <v>Merchant_022</v>
      </c>
      <c r="E284" s="7">
        <v>46034.079861111102</v>
      </c>
      <c r="F284">
        <v>499</v>
      </c>
      <c r="G284" s="8" t="s">
        <v>39</v>
      </c>
      <c r="H284" s="8" t="s">
        <v>40</v>
      </c>
      <c r="I284">
        <v>34</v>
      </c>
      <c r="J284" s="9">
        <f t="shared" si="8"/>
        <v>46034</v>
      </c>
      <c r="K284" s="10">
        <f>INDEX(Daily_Merchant_Pivot!$B$3:$AO$32,MATCH(J284,Daily_Merchant_Pivot!$A$3:$A$32,0),MATCH(C284,Daily_Merchant_Pivot!$B$2:$AO$2,0))</f>
        <v>1298</v>
      </c>
      <c r="L284" s="3" t="str">
        <f>INDEX(Merchant_Region_Map!$D$3:$D$42,MATCH(C284,Merchant_Region_Map!$A$3:$A$42,0))</f>
        <v>South</v>
      </c>
      <c r="M284" s="11" t="str">
        <f t="shared" si="9"/>
        <v/>
      </c>
    </row>
    <row r="285" spans="1:13" x14ac:dyDescent="0.25">
      <c r="A285" t="s">
        <v>327</v>
      </c>
      <c r="B285">
        <v>205</v>
      </c>
      <c r="C285">
        <v>29</v>
      </c>
      <c r="D285" s="13" t="str">
        <f>IFERROR(VLOOKUP(C285,[1]Sheet1!$A$1:$C$41,2,0),"Merchant Not Found")</f>
        <v>Merchant_029</v>
      </c>
      <c r="E285" s="7">
        <v>46026.477083333302</v>
      </c>
      <c r="F285">
        <v>99</v>
      </c>
      <c r="G285" s="8" t="s">
        <v>42</v>
      </c>
      <c r="H285" s="8" t="s">
        <v>40</v>
      </c>
      <c r="I285">
        <v>49</v>
      </c>
      <c r="J285" s="9">
        <f t="shared" si="8"/>
        <v>46026</v>
      </c>
      <c r="K285" s="10">
        <f>INDEX(Daily_Merchant_Pivot!$B$3:$AO$32,MATCH(J285,Daily_Merchant_Pivot!$A$3:$A$32,0),MATCH(C285,Daily_Merchant_Pivot!$B$2:$AO$2,0))</f>
        <v>99</v>
      </c>
      <c r="L285" s="3" t="str">
        <f>INDEX(Merchant_Region_Map!$D$3:$D$42,MATCH(C285,Merchant_Region_Map!$A$3:$A$42,0))</f>
        <v>North</v>
      </c>
      <c r="M285" s="11" t="str">
        <f t="shared" si="9"/>
        <v/>
      </c>
    </row>
    <row r="286" spans="1:13" x14ac:dyDescent="0.25">
      <c r="A286" t="s">
        <v>328</v>
      </c>
      <c r="B286">
        <v>255</v>
      </c>
      <c r="C286">
        <v>24</v>
      </c>
      <c r="D286" s="13" t="str">
        <f>IFERROR(VLOOKUP(C286,[1]Sheet1!$A$1:$C$41,2,0),"Merchant Not Found")</f>
        <v>Merchant_024</v>
      </c>
      <c r="E286" s="7">
        <v>46033.229861111096</v>
      </c>
      <c r="F286">
        <v>799</v>
      </c>
      <c r="G286" s="8" t="s">
        <v>39</v>
      </c>
      <c r="H286" s="8" t="s">
        <v>40</v>
      </c>
      <c r="I286">
        <v>66</v>
      </c>
      <c r="J286" s="9">
        <f t="shared" si="8"/>
        <v>46033</v>
      </c>
      <c r="K286" s="10">
        <f>INDEX(Daily_Merchant_Pivot!$B$3:$AO$32,MATCH(J286,Daily_Merchant_Pivot!$A$3:$A$32,0),MATCH(C286,Daily_Merchant_Pivot!$B$2:$AO$2,0))</f>
        <v>799</v>
      </c>
      <c r="L286" s="3" t="str">
        <f>INDEX(Merchant_Region_Map!$D$3:$D$42,MATCH(C286,Merchant_Region_Map!$A$3:$A$42,0))</f>
        <v>North</v>
      </c>
      <c r="M286" s="11" t="str">
        <f t="shared" si="9"/>
        <v/>
      </c>
    </row>
    <row r="287" spans="1:13" x14ac:dyDescent="0.25">
      <c r="A287" t="s">
        <v>329</v>
      </c>
      <c r="B287">
        <v>218</v>
      </c>
      <c r="C287">
        <v>6</v>
      </c>
      <c r="D287" s="13" t="str">
        <f>IFERROR(VLOOKUP(C287,[1]Sheet1!$A$1:$C$41,2,0),"Merchant Not Found")</f>
        <v>Merchant_006</v>
      </c>
      <c r="E287" s="7">
        <v>46031.115277777797</v>
      </c>
      <c r="F287">
        <v>99</v>
      </c>
      <c r="G287" s="8" t="s">
        <v>39</v>
      </c>
      <c r="H287" s="8" t="s">
        <v>40</v>
      </c>
      <c r="I287">
        <v>55</v>
      </c>
      <c r="J287" s="9">
        <f t="shared" si="8"/>
        <v>46031</v>
      </c>
      <c r="K287" s="10">
        <f>INDEX(Daily_Merchant_Pivot!$B$3:$AO$32,MATCH(J287,Daily_Merchant_Pivot!$A$3:$A$32,0),MATCH(C287,Daily_Merchant_Pivot!$B$2:$AO$2,0))</f>
        <v>99</v>
      </c>
      <c r="L287" s="3" t="str">
        <f>INDEX(Merchant_Region_Map!$D$3:$D$42,MATCH(C287,Merchant_Region_Map!$A$3:$A$42,0))</f>
        <v>South</v>
      </c>
      <c r="M287" s="11" t="str">
        <f t="shared" si="9"/>
        <v/>
      </c>
    </row>
    <row r="288" spans="1:13" x14ac:dyDescent="0.25">
      <c r="A288" t="s">
        <v>330</v>
      </c>
      <c r="B288">
        <v>151</v>
      </c>
      <c r="C288">
        <v>21</v>
      </c>
      <c r="D288" s="13" t="str">
        <f>IFERROR(VLOOKUP(C288,[1]Sheet1!$A$1:$C$41,2,0),"Merchant Not Found")</f>
        <v>Merchant_021</v>
      </c>
      <c r="E288" s="7">
        <v>46042.2319444444</v>
      </c>
      <c r="F288">
        <v>49</v>
      </c>
      <c r="G288" s="8" t="s">
        <v>39</v>
      </c>
      <c r="H288" s="8" t="s">
        <v>40</v>
      </c>
      <c r="I288">
        <v>13</v>
      </c>
      <c r="J288" s="9">
        <f t="shared" si="8"/>
        <v>46042</v>
      </c>
      <c r="K288" s="10">
        <f>INDEX(Daily_Merchant_Pivot!$B$3:$AO$32,MATCH(J288,Daily_Merchant_Pivot!$A$3:$A$32,0),MATCH(C288,Daily_Merchant_Pivot!$B$2:$AO$2,0))</f>
        <v>49</v>
      </c>
      <c r="L288" s="3" t="str">
        <f>INDEX(Merchant_Region_Map!$D$3:$D$42,MATCH(C288,Merchant_Region_Map!$A$3:$A$42,0))</f>
        <v>East</v>
      </c>
      <c r="M288" s="11" t="str">
        <f t="shared" si="9"/>
        <v/>
      </c>
    </row>
    <row r="289" spans="1:13" x14ac:dyDescent="0.25">
      <c r="A289" t="s">
        <v>331</v>
      </c>
      <c r="B289">
        <v>152</v>
      </c>
      <c r="C289">
        <v>20</v>
      </c>
      <c r="D289" s="13" t="str">
        <f>IFERROR(VLOOKUP(C289,[1]Sheet1!$A$1:$C$41,2,0),"Merchant Not Found")</f>
        <v>Merchant_020</v>
      </c>
      <c r="E289" s="7">
        <v>46025.445833333302</v>
      </c>
      <c r="F289">
        <v>49</v>
      </c>
      <c r="G289" s="8" t="s">
        <v>39</v>
      </c>
      <c r="H289" s="8" t="s">
        <v>53</v>
      </c>
      <c r="I289">
        <v>57</v>
      </c>
      <c r="J289" s="9">
        <f t="shared" si="8"/>
        <v>46025</v>
      </c>
      <c r="K289" s="10">
        <f>INDEX(Daily_Merchant_Pivot!$B$3:$AO$32,MATCH(J289,Daily_Merchant_Pivot!$A$3:$A$32,0),MATCH(C289,Daily_Merchant_Pivot!$B$2:$AO$2,0))</f>
        <v>299</v>
      </c>
      <c r="L289" s="3" t="str">
        <f>INDEX(Merchant_Region_Map!$D$3:$D$42,MATCH(C289,Merchant_Region_Map!$A$3:$A$42,0))</f>
        <v>East</v>
      </c>
      <c r="M289" s="11" t="str">
        <f t="shared" si="9"/>
        <v/>
      </c>
    </row>
    <row r="290" spans="1:13" x14ac:dyDescent="0.25">
      <c r="A290" t="s">
        <v>332</v>
      </c>
      <c r="B290">
        <v>86</v>
      </c>
      <c r="C290">
        <v>29</v>
      </c>
      <c r="D290" s="13" t="str">
        <f>IFERROR(VLOOKUP(C290,[1]Sheet1!$A$1:$C$41,2,0),"Merchant Not Found")</f>
        <v>Merchant_029</v>
      </c>
      <c r="E290" s="7">
        <v>46042.935416666704</v>
      </c>
      <c r="F290">
        <v>249</v>
      </c>
      <c r="G290" s="8" t="s">
        <v>52</v>
      </c>
      <c r="H290" s="8" t="s">
        <v>40</v>
      </c>
      <c r="I290">
        <v>44</v>
      </c>
      <c r="J290" s="9">
        <f t="shared" si="8"/>
        <v>46042</v>
      </c>
      <c r="K290" s="10">
        <f>INDEX(Daily_Merchant_Pivot!$B$3:$AO$32,MATCH(J290,Daily_Merchant_Pivot!$A$3:$A$32,0),MATCH(C290,Daily_Merchant_Pivot!$B$2:$AO$2,0))</f>
        <v>249</v>
      </c>
      <c r="L290" s="3" t="str">
        <f>INDEX(Merchant_Region_Map!$D$3:$D$42,MATCH(C290,Merchant_Region_Map!$A$3:$A$42,0))</f>
        <v>North</v>
      </c>
      <c r="M290" s="11" t="str">
        <f t="shared" si="9"/>
        <v/>
      </c>
    </row>
    <row r="291" spans="1:13" x14ac:dyDescent="0.25">
      <c r="A291" t="s">
        <v>333</v>
      </c>
      <c r="B291">
        <v>181</v>
      </c>
      <c r="C291">
        <v>40</v>
      </c>
      <c r="D291" s="13" t="str">
        <f>IFERROR(VLOOKUP(C291,[1]Sheet1!$A$1:$C$41,2,0),"Merchant Not Found")</f>
        <v>Merchant_040</v>
      </c>
      <c r="E291" s="7">
        <v>46037.073611111096</v>
      </c>
      <c r="F291">
        <v>149</v>
      </c>
      <c r="G291" s="8" t="s">
        <v>39</v>
      </c>
      <c r="H291" s="8" t="s">
        <v>40</v>
      </c>
      <c r="I291">
        <v>55</v>
      </c>
      <c r="J291" s="9">
        <f t="shared" si="8"/>
        <v>46037</v>
      </c>
      <c r="K291" s="10">
        <f>INDEX(Daily_Merchant_Pivot!$B$3:$AO$32,MATCH(J291,Daily_Merchant_Pivot!$A$3:$A$32,0),MATCH(C291,Daily_Merchant_Pivot!$B$2:$AO$2,0))</f>
        <v>149</v>
      </c>
      <c r="L291" s="3" t="str">
        <f>INDEX(Merchant_Region_Map!$D$3:$D$42,MATCH(C291,Merchant_Region_Map!$A$3:$A$42,0))</f>
        <v>South</v>
      </c>
      <c r="M291" s="11" t="str">
        <f t="shared" si="9"/>
        <v/>
      </c>
    </row>
    <row r="292" spans="1:13" x14ac:dyDescent="0.25">
      <c r="A292" t="s">
        <v>334</v>
      </c>
      <c r="B292">
        <v>30</v>
      </c>
      <c r="C292">
        <v>5</v>
      </c>
      <c r="D292" s="13" t="str">
        <f>IFERROR(VLOOKUP(C292,[1]Sheet1!$A$1:$C$41,2,0),"Merchant Not Found")</f>
        <v>Merchant_005</v>
      </c>
      <c r="E292" s="7">
        <v>46031.868055555598</v>
      </c>
      <c r="F292">
        <v>299</v>
      </c>
      <c r="G292" s="8" t="s">
        <v>39</v>
      </c>
      <c r="H292" s="8" t="s">
        <v>40</v>
      </c>
      <c r="I292">
        <v>85</v>
      </c>
      <c r="J292" s="9">
        <f t="shared" si="8"/>
        <v>46031</v>
      </c>
      <c r="K292" s="10">
        <f>INDEX(Daily_Merchant_Pivot!$B$3:$AO$32,MATCH(J292,Daily_Merchant_Pivot!$A$3:$A$32,0),MATCH(C292,Daily_Merchant_Pivot!$B$2:$AO$2,0))</f>
        <v>448</v>
      </c>
      <c r="L292" s="3" t="str">
        <f>INDEX(Merchant_Region_Map!$D$3:$D$42,MATCH(C292,Merchant_Region_Map!$A$3:$A$42,0))</f>
        <v>South</v>
      </c>
      <c r="M292" s="11" t="str">
        <f t="shared" si="9"/>
        <v/>
      </c>
    </row>
    <row r="293" spans="1:13" x14ac:dyDescent="0.25">
      <c r="A293" t="s">
        <v>335</v>
      </c>
      <c r="B293">
        <v>263</v>
      </c>
      <c r="C293">
        <v>11</v>
      </c>
      <c r="D293" s="13" t="str">
        <f>IFERROR(VLOOKUP(C293,[1]Sheet1!$A$1:$C$41,2,0),"Merchant Not Found")</f>
        <v>Merchant_011</v>
      </c>
      <c r="E293" s="7">
        <v>46043.515972222202</v>
      </c>
      <c r="F293">
        <v>149</v>
      </c>
      <c r="G293" s="8" t="s">
        <v>42</v>
      </c>
      <c r="H293" s="8" t="s">
        <v>40</v>
      </c>
      <c r="I293">
        <v>3</v>
      </c>
      <c r="J293" s="9">
        <f t="shared" si="8"/>
        <v>46043</v>
      </c>
      <c r="K293" s="10">
        <f>INDEX(Daily_Merchant_Pivot!$B$3:$AO$32,MATCH(J293,Daily_Merchant_Pivot!$A$3:$A$32,0),MATCH(C293,Daily_Merchant_Pivot!$B$2:$AO$2,0))</f>
        <v>149</v>
      </c>
      <c r="L293" s="3" t="str">
        <f>INDEX(Merchant_Region_Map!$D$3:$D$42,MATCH(C293,Merchant_Region_Map!$A$3:$A$42,0))</f>
        <v>North</v>
      </c>
      <c r="M293" s="11" t="str">
        <f t="shared" si="9"/>
        <v/>
      </c>
    </row>
    <row r="294" spans="1:13" x14ac:dyDescent="0.25">
      <c r="A294" t="s">
        <v>336</v>
      </c>
      <c r="B294">
        <v>225</v>
      </c>
      <c r="C294">
        <v>3</v>
      </c>
      <c r="D294" s="13" t="str">
        <f>IFERROR(VLOOKUP(C294,[1]Sheet1!$A$1:$C$41,2,0),"Merchant Not Found")</f>
        <v>Merchant_003</v>
      </c>
      <c r="E294" s="7">
        <v>46027.8215277778</v>
      </c>
      <c r="F294">
        <v>99</v>
      </c>
      <c r="G294" s="8" t="s">
        <v>44</v>
      </c>
      <c r="H294" s="8" t="s">
        <v>40</v>
      </c>
      <c r="I294">
        <v>16</v>
      </c>
      <c r="J294" s="9">
        <f t="shared" si="8"/>
        <v>46027</v>
      </c>
      <c r="K294" s="10">
        <f>INDEX(Daily_Merchant_Pivot!$B$3:$AO$32,MATCH(J294,Daily_Merchant_Pivot!$A$3:$A$32,0),MATCH(C294,Daily_Merchant_Pivot!$B$2:$AO$2,0))</f>
        <v>99</v>
      </c>
      <c r="L294" s="3" t="str">
        <f>INDEX(Merchant_Region_Map!$D$3:$D$42,MATCH(C294,Merchant_Region_Map!$A$3:$A$42,0))</f>
        <v>East</v>
      </c>
      <c r="M294" s="11" t="str">
        <f t="shared" si="9"/>
        <v/>
      </c>
    </row>
    <row r="295" spans="1:13" x14ac:dyDescent="0.25">
      <c r="A295" t="s">
        <v>337</v>
      </c>
      <c r="B295">
        <v>331</v>
      </c>
      <c r="C295">
        <v>24</v>
      </c>
      <c r="D295" s="13" t="str">
        <f>IFERROR(VLOOKUP(C295,[1]Sheet1!$A$1:$C$41,2,0),"Merchant Not Found")</f>
        <v>Merchant_024</v>
      </c>
      <c r="E295" s="7">
        <v>46025.3256944444</v>
      </c>
      <c r="F295">
        <v>49</v>
      </c>
      <c r="G295" s="8" t="s">
        <v>52</v>
      </c>
      <c r="H295" s="8" t="s">
        <v>40</v>
      </c>
      <c r="I295">
        <v>46</v>
      </c>
      <c r="J295" s="9">
        <f t="shared" si="8"/>
        <v>46025</v>
      </c>
      <c r="K295" s="10">
        <f>INDEX(Daily_Merchant_Pivot!$B$3:$AO$32,MATCH(J295,Daily_Merchant_Pivot!$A$3:$A$32,0),MATCH(C295,Daily_Merchant_Pivot!$B$2:$AO$2,0))</f>
        <v>49</v>
      </c>
      <c r="L295" s="3" t="str">
        <f>INDEX(Merchant_Region_Map!$D$3:$D$42,MATCH(C295,Merchant_Region_Map!$A$3:$A$42,0))</f>
        <v>North</v>
      </c>
      <c r="M295" s="11" t="str">
        <f t="shared" si="9"/>
        <v/>
      </c>
    </row>
    <row r="296" spans="1:13" x14ac:dyDescent="0.25">
      <c r="A296" t="s">
        <v>338</v>
      </c>
      <c r="B296">
        <v>310</v>
      </c>
      <c r="C296">
        <v>10</v>
      </c>
      <c r="D296" s="13" t="str">
        <f>IFERROR(VLOOKUP(C296,[1]Sheet1!$A$1:$C$41,2,0),"Merchant Not Found")</f>
        <v>Merchant_010</v>
      </c>
      <c r="E296" s="7">
        <v>46035.751388888901</v>
      </c>
      <c r="F296">
        <v>1499</v>
      </c>
      <c r="G296" s="8" t="s">
        <v>52</v>
      </c>
      <c r="H296" s="8" t="s">
        <v>40</v>
      </c>
      <c r="I296">
        <v>86</v>
      </c>
      <c r="J296" s="9">
        <f t="shared" si="8"/>
        <v>46035</v>
      </c>
      <c r="K296" s="10">
        <f>INDEX(Daily_Merchant_Pivot!$B$3:$AO$32,MATCH(J296,Daily_Merchant_Pivot!$A$3:$A$32,0),MATCH(C296,Daily_Merchant_Pivot!$B$2:$AO$2,0))</f>
        <v>1499</v>
      </c>
      <c r="L296" s="3" t="str">
        <f>INDEX(Merchant_Region_Map!$D$3:$D$42,MATCH(C296,Merchant_Region_Map!$A$3:$A$42,0))</f>
        <v>West</v>
      </c>
      <c r="M296" s="11" t="str">
        <f t="shared" si="9"/>
        <v/>
      </c>
    </row>
    <row r="297" spans="1:13" x14ac:dyDescent="0.25">
      <c r="A297" t="s">
        <v>339</v>
      </c>
      <c r="B297">
        <v>228</v>
      </c>
      <c r="C297">
        <v>5</v>
      </c>
      <c r="D297" s="13" t="str">
        <f>IFERROR(VLOOKUP(C297,[1]Sheet1!$A$1:$C$41,2,0),"Merchant Not Found")</f>
        <v>Merchant_005</v>
      </c>
      <c r="E297" s="7">
        <v>46037.474305555603</v>
      </c>
      <c r="F297">
        <v>49</v>
      </c>
      <c r="G297" s="8" t="s">
        <v>39</v>
      </c>
      <c r="H297" s="8" t="s">
        <v>40</v>
      </c>
      <c r="I297">
        <v>73</v>
      </c>
      <c r="J297" s="9">
        <f t="shared" si="8"/>
        <v>46037</v>
      </c>
      <c r="K297" s="10">
        <f>INDEX(Daily_Merchant_Pivot!$B$3:$AO$32,MATCH(J297,Daily_Merchant_Pivot!$A$3:$A$32,0),MATCH(C297,Daily_Merchant_Pivot!$B$2:$AO$2,0))</f>
        <v>548</v>
      </c>
      <c r="L297" s="3" t="str">
        <f>INDEX(Merchant_Region_Map!$D$3:$D$42,MATCH(C297,Merchant_Region_Map!$A$3:$A$42,0))</f>
        <v>South</v>
      </c>
      <c r="M297" s="11" t="str">
        <f t="shared" si="9"/>
        <v/>
      </c>
    </row>
    <row r="298" spans="1:13" x14ac:dyDescent="0.25">
      <c r="A298" t="s">
        <v>340</v>
      </c>
      <c r="B298">
        <v>204</v>
      </c>
      <c r="C298">
        <v>21</v>
      </c>
      <c r="D298" s="13" t="str">
        <f>IFERROR(VLOOKUP(C298,[1]Sheet1!$A$1:$C$41,2,0),"Merchant Not Found")</f>
        <v>Merchant_021</v>
      </c>
      <c r="E298" s="7">
        <v>46027.682638888902</v>
      </c>
      <c r="F298">
        <v>499</v>
      </c>
      <c r="G298" s="8" t="s">
        <v>39</v>
      </c>
      <c r="H298" s="8" t="s">
        <v>40</v>
      </c>
      <c r="I298">
        <v>83</v>
      </c>
      <c r="J298" s="9">
        <f t="shared" si="8"/>
        <v>46027</v>
      </c>
      <c r="K298" s="10">
        <f>INDEX(Daily_Merchant_Pivot!$B$3:$AO$32,MATCH(J298,Daily_Merchant_Pivot!$A$3:$A$32,0),MATCH(C298,Daily_Merchant_Pivot!$B$2:$AO$2,0))</f>
        <v>499</v>
      </c>
      <c r="L298" s="3" t="str">
        <f>INDEX(Merchant_Region_Map!$D$3:$D$42,MATCH(C298,Merchant_Region_Map!$A$3:$A$42,0))</f>
        <v>East</v>
      </c>
      <c r="M298" s="11" t="str">
        <f t="shared" si="9"/>
        <v/>
      </c>
    </row>
    <row r="299" spans="1:13" x14ac:dyDescent="0.25">
      <c r="A299" t="s">
        <v>341</v>
      </c>
      <c r="B299">
        <v>14</v>
      </c>
      <c r="C299">
        <v>12</v>
      </c>
      <c r="D299" s="13" t="str">
        <f>IFERROR(VLOOKUP(C299,[1]Sheet1!$A$1:$C$41,2,0),"Merchant Not Found")</f>
        <v>Merchant_012</v>
      </c>
      <c r="E299" s="7">
        <v>46031.296527777798</v>
      </c>
      <c r="F299">
        <v>799</v>
      </c>
      <c r="G299" s="8" t="s">
        <v>44</v>
      </c>
      <c r="H299" s="8" t="s">
        <v>40</v>
      </c>
      <c r="I299">
        <v>63</v>
      </c>
      <c r="J299" s="9">
        <f t="shared" si="8"/>
        <v>46031</v>
      </c>
      <c r="K299" s="10">
        <f>INDEX(Daily_Merchant_Pivot!$B$3:$AO$32,MATCH(J299,Daily_Merchant_Pivot!$A$3:$A$32,0),MATCH(C299,Daily_Merchant_Pivot!$B$2:$AO$2,0))</f>
        <v>799</v>
      </c>
      <c r="L299" s="3" t="str">
        <f>INDEX(Merchant_Region_Map!$D$3:$D$42,MATCH(C299,Merchant_Region_Map!$A$3:$A$42,0))</f>
        <v>East</v>
      </c>
      <c r="M299" s="11" t="str">
        <f t="shared" si="9"/>
        <v/>
      </c>
    </row>
    <row r="300" spans="1:13" x14ac:dyDescent="0.25">
      <c r="A300" t="s">
        <v>342</v>
      </c>
      <c r="B300">
        <v>288</v>
      </c>
      <c r="C300">
        <v>8</v>
      </c>
      <c r="D300" s="13" t="str">
        <f>IFERROR(VLOOKUP(C300,[1]Sheet1!$A$1:$C$41,2,0),"Merchant Not Found")</f>
        <v>Merchant_008</v>
      </c>
      <c r="E300" s="7">
        <v>46039.5402777778</v>
      </c>
      <c r="F300">
        <v>49</v>
      </c>
      <c r="G300" s="8" t="s">
        <v>39</v>
      </c>
      <c r="H300" s="8" t="s">
        <v>40</v>
      </c>
      <c r="I300">
        <v>33</v>
      </c>
      <c r="J300" s="9">
        <f t="shared" si="8"/>
        <v>46039</v>
      </c>
      <c r="K300" s="10">
        <f>INDEX(Daily_Merchant_Pivot!$B$3:$AO$32,MATCH(J300,Daily_Merchant_Pivot!$A$3:$A$32,0),MATCH(C300,Daily_Merchant_Pivot!$B$2:$AO$2,0))</f>
        <v>348</v>
      </c>
      <c r="L300" s="3" t="str">
        <f>INDEX(Merchant_Region_Map!$D$3:$D$42,MATCH(C300,Merchant_Region_Map!$A$3:$A$42,0))</f>
        <v>North</v>
      </c>
      <c r="M300" s="11" t="str">
        <f t="shared" si="9"/>
        <v/>
      </c>
    </row>
    <row r="301" spans="1:13" x14ac:dyDescent="0.25">
      <c r="A301" t="s">
        <v>343</v>
      </c>
      <c r="B301">
        <v>229</v>
      </c>
      <c r="C301">
        <v>14</v>
      </c>
      <c r="D301" s="13" t="str">
        <f>IFERROR(VLOOKUP(C301,[1]Sheet1!$A$1:$C$41,2,0),"Merchant Not Found")</f>
        <v>Merchant_014</v>
      </c>
      <c r="E301" s="7">
        <v>46047.364583333299</v>
      </c>
      <c r="F301">
        <v>1499</v>
      </c>
      <c r="G301" s="8" t="s">
        <v>39</v>
      </c>
      <c r="H301" s="8" t="s">
        <v>40</v>
      </c>
      <c r="I301">
        <v>78</v>
      </c>
      <c r="J301" s="9">
        <f t="shared" si="8"/>
        <v>46047</v>
      </c>
      <c r="K301" s="10">
        <f>INDEX(Daily_Merchant_Pivot!$B$3:$AO$32,MATCH(J301,Daily_Merchant_Pivot!$A$3:$A$32,0),MATCH(C301,Daily_Merchant_Pivot!$B$2:$AO$2,0))</f>
        <v>1598</v>
      </c>
      <c r="L301" s="3" t="str">
        <f>INDEX(Merchant_Region_Map!$D$3:$D$42,MATCH(C301,Merchant_Region_Map!$A$3:$A$42,0))</f>
        <v>East</v>
      </c>
      <c r="M301" s="11" t="str">
        <f t="shared" si="9"/>
        <v/>
      </c>
    </row>
    <row r="302" spans="1:13" x14ac:dyDescent="0.25">
      <c r="A302" t="s">
        <v>344</v>
      </c>
      <c r="B302">
        <v>89</v>
      </c>
      <c r="C302">
        <v>29</v>
      </c>
      <c r="D302" s="13" t="str">
        <f>IFERROR(VLOOKUP(C302,[1]Sheet1!$A$1:$C$41,2,0),"Merchant Not Found")</f>
        <v>Merchant_029</v>
      </c>
      <c r="E302" s="7">
        <v>46027.1027777778</v>
      </c>
      <c r="F302">
        <v>799</v>
      </c>
      <c r="G302" s="8" t="s">
        <v>39</v>
      </c>
      <c r="H302" s="8" t="s">
        <v>40</v>
      </c>
      <c r="I302">
        <v>11</v>
      </c>
      <c r="J302" s="9">
        <f t="shared" si="8"/>
        <v>46027</v>
      </c>
      <c r="K302" s="10">
        <f>INDEX(Daily_Merchant_Pivot!$B$3:$AO$32,MATCH(J302,Daily_Merchant_Pivot!$A$3:$A$32,0),MATCH(C302,Daily_Merchant_Pivot!$B$2:$AO$2,0))</f>
        <v>799</v>
      </c>
      <c r="L302" s="3" t="str">
        <f>INDEX(Merchant_Region_Map!$D$3:$D$42,MATCH(C302,Merchant_Region_Map!$A$3:$A$42,0))</f>
        <v>North</v>
      </c>
      <c r="M302" s="11" t="str">
        <f t="shared" si="9"/>
        <v/>
      </c>
    </row>
    <row r="303" spans="1:13" x14ac:dyDescent="0.25">
      <c r="A303" t="s">
        <v>345</v>
      </c>
      <c r="B303">
        <v>164</v>
      </c>
      <c r="C303">
        <v>23</v>
      </c>
      <c r="D303" s="13" t="str">
        <f>IFERROR(VLOOKUP(C303,[1]Sheet1!$A$1:$C$41,2,0),"Merchant Not Found")</f>
        <v>Merchant_023</v>
      </c>
      <c r="E303" s="7">
        <v>46048.912499999999</v>
      </c>
      <c r="F303">
        <v>49</v>
      </c>
      <c r="G303" s="8" t="s">
        <v>44</v>
      </c>
      <c r="H303" s="8" t="s">
        <v>40</v>
      </c>
      <c r="I303">
        <v>90</v>
      </c>
      <c r="J303" s="9">
        <f t="shared" si="8"/>
        <v>46048</v>
      </c>
      <c r="K303" s="10">
        <f>INDEX(Daily_Merchant_Pivot!$B$3:$AO$32,MATCH(J303,Daily_Merchant_Pivot!$A$3:$A$32,0),MATCH(C303,Daily_Merchant_Pivot!$B$2:$AO$2,0))</f>
        <v>49</v>
      </c>
      <c r="L303" s="3" t="str">
        <f>INDEX(Merchant_Region_Map!$D$3:$D$42,MATCH(C303,Merchant_Region_Map!$A$3:$A$42,0))</f>
        <v>North</v>
      </c>
      <c r="M303" s="11" t="str">
        <f t="shared" si="9"/>
        <v/>
      </c>
    </row>
    <row r="304" spans="1:13" x14ac:dyDescent="0.25">
      <c r="A304" t="s">
        <v>346</v>
      </c>
      <c r="B304">
        <v>149</v>
      </c>
      <c r="C304">
        <v>20</v>
      </c>
      <c r="D304" s="13" t="str">
        <f>IFERROR(VLOOKUP(C304,[1]Sheet1!$A$1:$C$41,2,0),"Merchant Not Found")</f>
        <v>Merchant_020</v>
      </c>
      <c r="E304" s="7">
        <v>46025.7319444444</v>
      </c>
      <c r="F304">
        <v>299</v>
      </c>
      <c r="G304" s="8" t="s">
        <v>42</v>
      </c>
      <c r="H304" s="8" t="s">
        <v>40</v>
      </c>
      <c r="I304">
        <v>20</v>
      </c>
      <c r="J304" s="9">
        <f t="shared" si="8"/>
        <v>46025</v>
      </c>
      <c r="K304" s="10">
        <f>INDEX(Daily_Merchant_Pivot!$B$3:$AO$32,MATCH(J304,Daily_Merchant_Pivot!$A$3:$A$32,0),MATCH(C304,Daily_Merchant_Pivot!$B$2:$AO$2,0))</f>
        <v>299</v>
      </c>
      <c r="L304" s="3" t="str">
        <f>INDEX(Merchant_Region_Map!$D$3:$D$42,MATCH(C304,Merchant_Region_Map!$A$3:$A$42,0))</f>
        <v>East</v>
      </c>
      <c r="M304" s="11" t="str">
        <f t="shared" si="9"/>
        <v/>
      </c>
    </row>
    <row r="305" spans="1:13" x14ac:dyDescent="0.25">
      <c r="A305" t="s">
        <v>347</v>
      </c>
      <c r="B305">
        <v>327</v>
      </c>
      <c r="C305">
        <v>12</v>
      </c>
      <c r="D305" s="13" t="str">
        <f>IFERROR(VLOOKUP(C305,[1]Sheet1!$A$1:$C$41,2,0),"Merchant Not Found")</f>
        <v>Merchant_012</v>
      </c>
      <c r="E305" s="7">
        <v>46045.957638888904</v>
      </c>
      <c r="F305">
        <v>49</v>
      </c>
      <c r="G305" s="8" t="s">
        <v>44</v>
      </c>
      <c r="H305" s="8" t="s">
        <v>40</v>
      </c>
      <c r="I305">
        <v>46</v>
      </c>
      <c r="J305" s="9">
        <f t="shared" si="8"/>
        <v>46045</v>
      </c>
      <c r="K305" s="10">
        <f>INDEX(Daily_Merchant_Pivot!$B$3:$AO$32,MATCH(J305,Daily_Merchant_Pivot!$A$3:$A$32,0),MATCH(C305,Daily_Merchant_Pivot!$B$2:$AO$2,0))</f>
        <v>448</v>
      </c>
      <c r="L305" s="3" t="str">
        <f>INDEX(Merchant_Region_Map!$D$3:$D$42,MATCH(C305,Merchant_Region_Map!$A$3:$A$42,0))</f>
        <v>East</v>
      </c>
      <c r="M305" s="11" t="str">
        <f t="shared" si="9"/>
        <v/>
      </c>
    </row>
    <row r="306" spans="1:13" x14ac:dyDescent="0.25">
      <c r="A306" t="s">
        <v>348</v>
      </c>
      <c r="B306">
        <v>103</v>
      </c>
      <c r="C306">
        <v>9</v>
      </c>
      <c r="D306" s="13" t="str">
        <f>IFERROR(VLOOKUP(C306,[1]Sheet1!$A$1:$C$41,2,0),"Merchant Not Found")</f>
        <v>Merchant_009</v>
      </c>
      <c r="E306" s="7">
        <v>46039.296527777798</v>
      </c>
      <c r="F306">
        <v>149</v>
      </c>
      <c r="G306" s="8" t="s">
        <v>39</v>
      </c>
      <c r="H306" s="8" t="s">
        <v>40</v>
      </c>
      <c r="I306">
        <v>30</v>
      </c>
      <c r="J306" s="9">
        <f t="shared" si="8"/>
        <v>46039</v>
      </c>
      <c r="K306" s="10">
        <f>INDEX(Daily_Merchant_Pivot!$B$3:$AO$32,MATCH(J306,Daily_Merchant_Pivot!$A$3:$A$32,0),MATCH(C306,Daily_Merchant_Pivot!$B$2:$AO$2,0))</f>
        <v>248</v>
      </c>
      <c r="L306" s="3" t="str">
        <f>INDEX(Merchant_Region_Map!$D$3:$D$42,MATCH(C306,Merchant_Region_Map!$A$3:$A$42,0))</f>
        <v>North</v>
      </c>
      <c r="M306" s="11" t="str">
        <f t="shared" si="9"/>
        <v/>
      </c>
    </row>
    <row r="307" spans="1:13" x14ac:dyDescent="0.25">
      <c r="A307" t="s">
        <v>349</v>
      </c>
      <c r="B307">
        <v>185</v>
      </c>
      <c r="C307">
        <v>36</v>
      </c>
      <c r="D307" s="13" t="str">
        <f>IFERROR(VLOOKUP(C307,[1]Sheet1!$A$1:$C$41,2,0),"Merchant Not Found")</f>
        <v>Merchant_036</v>
      </c>
      <c r="E307" s="7">
        <v>46048.625694444498</v>
      </c>
      <c r="F307">
        <v>49</v>
      </c>
      <c r="G307" s="8" t="s">
        <v>42</v>
      </c>
      <c r="H307" s="8" t="s">
        <v>40</v>
      </c>
      <c r="I307">
        <v>73</v>
      </c>
      <c r="J307" s="9">
        <f t="shared" si="8"/>
        <v>46048</v>
      </c>
      <c r="K307" s="10">
        <f>INDEX(Daily_Merchant_Pivot!$B$3:$AO$32,MATCH(J307,Daily_Merchant_Pivot!$A$3:$A$32,0),MATCH(C307,Daily_Merchant_Pivot!$B$2:$AO$2,0))</f>
        <v>198</v>
      </c>
      <c r="L307" s="3" t="str">
        <f>INDEX(Merchant_Region_Map!$D$3:$D$42,MATCH(C307,Merchant_Region_Map!$A$3:$A$42,0))</f>
        <v>East</v>
      </c>
      <c r="M307" s="11" t="str">
        <f t="shared" si="9"/>
        <v/>
      </c>
    </row>
    <row r="308" spans="1:13" x14ac:dyDescent="0.25">
      <c r="A308" t="s">
        <v>350</v>
      </c>
      <c r="B308">
        <v>283</v>
      </c>
      <c r="C308">
        <v>9</v>
      </c>
      <c r="D308" s="13" t="str">
        <f>IFERROR(VLOOKUP(C308,[1]Sheet1!$A$1:$C$41,2,0),"Merchant Not Found")</f>
        <v>Merchant_009</v>
      </c>
      <c r="E308" s="7">
        <v>46034.618750000001</v>
      </c>
      <c r="F308">
        <v>299</v>
      </c>
      <c r="G308" s="8" t="s">
        <v>39</v>
      </c>
      <c r="H308" s="8" t="s">
        <v>40</v>
      </c>
      <c r="I308">
        <v>78</v>
      </c>
      <c r="J308" s="9">
        <f t="shared" si="8"/>
        <v>46034</v>
      </c>
      <c r="K308" s="10">
        <f>INDEX(Daily_Merchant_Pivot!$B$3:$AO$32,MATCH(J308,Daily_Merchant_Pivot!$A$3:$A$32,0),MATCH(C308,Daily_Merchant_Pivot!$B$2:$AO$2,0))</f>
        <v>299</v>
      </c>
      <c r="L308" s="3" t="str">
        <f>INDEX(Merchant_Region_Map!$D$3:$D$42,MATCH(C308,Merchant_Region_Map!$A$3:$A$42,0))</f>
        <v>North</v>
      </c>
      <c r="M308" s="11" t="str">
        <f t="shared" si="9"/>
        <v/>
      </c>
    </row>
    <row r="309" spans="1:13" x14ac:dyDescent="0.25">
      <c r="A309" t="s">
        <v>351</v>
      </c>
      <c r="B309">
        <v>159</v>
      </c>
      <c r="C309">
        <v>26</v>
      </c>
      <c r="D309" s="13" t="str">
        <f>IFERROR(VLOOKUP(C309,[1]Sheet1!$A$1:$C$41,2,0),"Merchant Not Found")</f>
        <v>Merchant_026</v>
      </c>
      <c r="E309" s="7">
        <v>46051.086111111101</v>
      </c>
      <c r="F309">
        <v>99</v>
      </c>
      <c r="G309" s="8" t="s">
        <v>39</v>
      </c>
      <c r="H309" s="8" t="s">
        <v>40</v>
      </c>
      <c r="I309">
        <v>91</v>
      </c>
      <c r="J309" s="9">
        <f t="shared" si="8"/>
        <v>46051</v>
      </c>
      <c r="K309" s="10">
        <f>INDEX(Daily_Merchant_Pivot!$B$3:$AO$32,MATCH(J309,Daily_Merchant_Pivot!$A$3:$A$32,0),MATCH(C309,Daily_Merchant_Pivot!$B$2:$AO$2,0))</f>
        <v>148</v>
      </c>
      <c r="L309" s="3" t="str">
        <f>INDEX(Merchant_Region_Map!$D$3:$D$42,MATCH(C309,Merchant_Region_Map!$A$3:$A$42,0))</f>
        <v>East</v>
      </c>
      <c r="M309" s="11" t="str">
        <f t="shared" si="9"/>
        <v/>
      </c>
    </row>
    <row r="310" spans="1:13" x14ac:dyDescent="0.25">
      <c r="A310" t="s">
        <v>352</v>
      </c>
      <c r="B310">
        <v>211</v>
      </c>
      <c r="C310">
        <v>27</v>
      </c>
      <c r="D310" s="13" t="str">
        <f>IFERROR(VLOOKUP(C310,[1]Sheet1!$A$1:$C$41,2,0),"Merchant Not Found")</f>
        <v>Merchant_027</v>
      </c>
      <c r="E310" s="7">
        <v>46046.647916666698</v>
      </c>
      <c r="F310">
        <v>99</v>
      </c>
      <c r="G310" s="8" t="s">
        <v>42</v>
      </c>
      <c r="H310" s="8" t="s">
        <v>40</v>
      </c>
      <c r="I310">
        <v>73</v>
      </c>
      <c r="J310" s="9">
        <f t="shared" si="8"/>
        <v>46046</v>
      </c>
      <c r="K310" s="10">
        <f>INDEX(Daily_Merchant_Pivot!$B$3:$AO$32,MATCH(J310,Daily_Merchant_Pivot!$A$3:$A$32,0),MATCH(C310,Daily_Merchant_Pivot!$B$2:$AO$2,0))</f>
        <v>99</v>
      </c>
      <c r="L310" s="3" t="str">
        <f>INDEX(Merchant_Region_Map!$D$3:$D$42,MATCH(C310,Merchant_Region_Map!$A$3:$A$42,0))</f>
        <v>North</v>
      </c>
      <c r="M310" s="11" t="str">
        <f t="shared" si="9"/>
        <v/>
      </c>
    </row>
    <row r="311" spans="1:13" x14ac:dyDescent="0.25">
      <c r="A311" t="s">
        <v>353</v>
      </c>
      <c r="B311">
        <v>329</v>
      </c>
      <c r="C311">
        <v>5</v>
      </c>
      <c r="D311" s="13" t="str">
        <f>IFERROR(VLOOKUP(C311,[1]Sheet1!$A$1:$C$41,2,0),"Merchant Not Found")</f>
        <v>Merchant_005</v>
      </c>
      <c r="E311" s="7">
        <v>46025.180555555598</v>
      </c>
      <c r="F311">
        <v>499</v>
      </c>
      <c r="G311" s="8" t="s">
        <v>44</v>
      </c>
      <c r="H311" s="8" t="s">
        <v>40</v>
      </c>
      <c r="I311">
        <v>57</v>
      </c>
      <c r="J311" s="9">
        <f t="shared" si="8"/>
        <v>46025</v>
      </c>
      <c r="K311" s="10">
        <f>INDEX(Daily_Merchant_Pivot!$B$3:$AO$32,MATCH(J311,Daily_Merchant_Pivot!$A$3:$A$32,0),MATCH(C311,Daily_Merchant_Pivot!$B$2:$AO$2,0))</f>
        <v>499</v>
      </c>
      <c r="L311" s="3" t="str">
        <f>INDEX(Merchant_Region_Map!$D$3:$D$42,MATCH(C311,Merchant_Region_Map!$A$3:$A$42,0))</f>
        <v>South</v>
      </c>
      <c r="M311" s="11" t="str">
        <f t="shared" si="9"/>
        <v/>
      </c>
    </row>
    <row r="312" spans="1:13" x14ac:dyDescent="0.25">
      <c r="A312" t="s">
        <v>354</v>
      </c>
      <c r="B312">
        <v>94</v>
      </c>
      <c r="C312">
        <v>9</v>
      </c>
      <c r="D312" s="13" t="str">
        <f>IFERROR(VLOOKUP(C312,[1]Sheet1!$A$1:$C$41,2,0),"Merchant Not Found")</f>
        <v>Merchant_009</v>
      </c>
      <c r="E312" s="7">
        <v>46040.859027777798</v>
      </c>
      <c r="F312">
        <v>299</v>
      </c>
      <c r="G312" s="8" t="s">
        <v>39</v>
      </c>
      <c r="H312" s="8" t="s">
        <v>40</v>
      </c>
      <c r="I312">
        <v>55</v>
      </c>
      <c r="J312" s="9">
        <f t="shared" si="8"/>
        <v>46040</v>
      </c>
      <c r="K312" s="10">
        <f>INDEX(Daily_Merchant_Pivot!$B$3:$AO$32,MATCH(J312,Daily_Merchant_Pivot!$A$3:$A$32,0),MATCH(C312,Daily_Merchant_Pivot!$B$2:$AO$2,0))</f>
        <v>299</v>
      </c>
      <c r="L312" s="3" t="str">
        <f>INDEX(Merchant_Region_Map!$D$3:$D$42,MATCH(C312,Merchant_Region_Map!$A$3:$A$42,0))</f>
        <v>North</v>
      </c>
      <c r="M312" s="11" t="str">
        <f t="shared" si="9"/>
        <v/>
      </c>
    </row>
    <row r="313" spans="1:13" x14ac:dyDescent="0.25">
      <c r="A313" t="s">
        <v>355</v>
      </c>
      <c r="B313">
        <v>64</v>
      </c>
      <c r="C313">
        <v>34</v>
      </c>
      <c r="D313" s="13" t="str">
        <f>IFERROR(VLOOKUP(C313,[1]Sheet1!$A$1:$C$41,2,0),"Merchant Not Found")</f>
        <v>Merchant_034</v>
      </c>
      <c r="E313" s="7">
        <v>46039.078472222202</v>
      </c>
      <c r="F313">
        <v>299</v>
      </c>
      <c r="G313" s="8" t="s">
        <v>39</v>
      </c>
      <c r="H313" s="8" t="s">
        <v>40</v>
      </c>
      <c r="I313">
        <v>19</v>
      </c>
      <c r="J313" s="9">
        <f t="shared" si="8"/>
        <v>46039</v>
      </c>
      <c r="K313" s="10">
        <f>INDEX(Daily_Merchant_Pivot!$B$3:$AO$32,MATCH(J313,Daily_Merchant_Pivot!$A$3:$A$32,0),MATCH(C313,Daily_Merchant_Pivot!$B$2:$AO$2,0))</f>
        <v>299</v>
      </c>
      <c r="L313" s="3" t="str">
        <f>INDEX(Merchant_Region_Map!$D$3:$D$42,MATCH(C313,Merchant_Region_Map!$A$3:$A$42,0))</f>
        <v>South</v>
      </c>
      <c r="M313" s="11" t="str">
        <f t="shared" si="9"/>
        <v/>
      </c>
    </row>
    <row r="314" spans="1:13" x14ac:dyDescent="0.25">
      <c r="A314" t="s">
        <v>356</v>
      </c>
      <c r="B314">
        <v>166</v>
      </c>
      <c r="C314">
        <v>15</v>
      </c>
      <c r="D314" s="13" t="str">
        <f>IFERROR(VLOOKUP(C314,[1]Sheet1!$A$1:$C$41,2,0),"Merchant Not Found")</f>
        <v>Merchant_015</v>
      </c>
      <c r="E314" s="7">
        <v>46032.215277777803</v>
      </c>
      <c r="F314">
        <v>49</v>
      </c>
      <c r="G314" s="8" t="s">
        <v>39</v>
      </c>
      <c r="H314" s="8" t="s">
        <v>40</v>
      </c>
      <c r="I314">
        <v>44</v>
      </c>
      <c r="J314" s="9">
        <f t="shared" si="8"/>
        <v>46032</v>
      </c>
      <c r="K314" s="10">
        <f>INDEX(Daily_Merchant_Pivot!$B$3:$AO$32,MATCH(J314,Daily_Merchant_Pivot!$A$3:$A$32,0),MATCH(C314,Daily_Merchant_Pivot!$B$2:$AO$2,0))</f>
        <v>49</v>
      </c>
      <c r="L314" s="3" t="str">
        <f>INDEX(Merchant_Region_Map!$D$3:$D$42,MATCH(C314,Merchant_Region_Map!$A$3:$A$42,0))</f>
        <v>North</v>
      </c>
      <c r="M314" s="11" t="str">
        <f t="shared" si="9"/>
        <v/>
      </c>
    </row>
    <row r="315" spans="1:13" x14ac:dyDescent="0.25">
      <c r="A315" t="s">
        <v>357</v>
      </c>
      <c r="B315">
        <v>41</v>
      </c>
      <c r="C315">
        <v>17</v>
      </c>
      <c r="D315" s="13" t="str">
        <f>IFERROR(VLOOKUP(C315,[1]Sheet1!$A$1:$C$41,2,0),"Merchant Not Found")</f>
        <v>Merchant_017</v>
      </c>
      <c r="E315" s="7">
        <v>46039.412499999999</v>
      </c>
      <c r="F315">
        <v>299</v>
      </c>
      <c r="G315" s="8" t="s">
        <v>42</v>
      </c>
      <c r="H315" s="8" t="s">
        <v>40</v>
      </c>
      <c r="I315">
        <v>25</v>
      </c>
      <c r="J315" s="9">
        <f t="shared" si="8"/>
        <v>46039</v>
      </c>
      <c r="K315" s="10">
        <f>INDEX(Daily_Merchant_Pivot!$B$3:$AO$32,MATCH(J315,Daily_Merchant_Pivot!$A$3:$A$32,0),MATCH(C315,Daily_Merchant_Pivot!$B$2:$AO$2,0))</f>
        <v>299</v>
      </c>
      <c r="L315" s="3" t="str">
        <f>INDEX(Merchant_Region_Map!$D$3:$D$42,MATCH(C315,Merchant_Region_Map!$A$3:$A$42,0))</f>
        <v>North</v>
      </c>
      <c r="M315" s="11" t="str">
        <f t="shared" si="9"/>
        <v/>
      </c>
    </row>
    <row r="316" spans="1:13" x14ac:dyDescent="0.25">
      <c r="A316" t="s">
        <v>358</v>
      </c>
      <c r="B316">
        <v>65</v>
      </c>
      <c r="C316">
        <v>20</v>
      </c>
      <c r="D316" s="13" t="str">
        <f>IFERROR(VLOOKUP(C316,[1]Sheet1!$A$1:$C$41,2,0),"Merchant Not Found")</f>
        <v>Merchant_020</v>
      </c>
      <c r="E316" s="7">
        <v>46043.720138888901</v>
      </c>
      <c r="F316">
        <v>99</v>
      </c>
      <c r="G316" s="8" t="s">
        <v>52</v>
      </c>
      <c r="H316" s="8" t="s">
        <v>40</v>
      </c>
      <c r="I316">
        <v>78</v>
      </c>
      <c r="J316" s="9">
        <f t="shared" si="8"/>
        <v>46043</v>
      </c>
      <c r="K316" s="10">
        <f>INDEX(Daily_Merchant_Pivot!$B$3:$AO$32,MATCH(J316,Daily_Merchant_Pivot!$A$3:$A$32,0),MATCH(C316,Daily_Merchant_Pivot!$B$2:$AO$2,0))</f>
        <v>99</v>
      </c>
      <c r="L316" s="3" t="str">
        <f>INDEX(Merchant_Region_Map!$D$3:$D$42,MATCH(C316,Merchant_Region_Map!$A$3:$A$42,0))</f>
        <v>East</v>
      </c>
      <c r="M316" s="11" t="str">
        <f t="shared" si="9"/>
        <v/>
      </c>
    </row>
    <row r="317" spans="1:13" x14ac:dyDescent="0.25">
      <c r="A317" t="s">
        <v>359</v>
      </c>
      <c r="B317">
        <v>338</v>
      </c>
      <c r="C317">
        <v>40</v>
      </c>
      <c r="D317" s="13" t="str">
        <f>IFERROR(VLOOKUP(C317,[1]Sheet1!$A$1:$C$41,2,0),"Merchant Not Found")</f>
        <v>Merchant_040</v>
      </c>
      <c r="E317" s="7">
        <v>46041.173611111102</v>
      </c>
      <c r="F317">
        <v>149</v>
      </c>
      <c r="G317" s="8" t="s">
        <v>39</v>
      </c>
      <c r="H317" s="8" t="s">
        <v>40</v>
      </c>
      <c r="I317">
        <v>92</v>
      </c>
      <c r="J317" s="9">
        <f t="shared" si="8"/>
        <v>46041</v>
      </c>
      <c r="K317" s="10">
        <f>INDEX(Daily_Merchant_Pivot!$B$3:$AO$32,MATCH(J317,Daily_Merchant_Pivot!$A$3:$A$32,0),MATCH(C317,Daily_Merchant_Pivot!$B$2:$AO$2,0))</f>
        <v>648</v>
      </c>
      <c r="L317" s="3" t="str">
        <f>INDEX(Merchant_Region_Map!$D$3:$D$42,MATCH(C317,Merchant_Region_Map!$A$3:$A$42,0))</f>
        <v>South</v>
      </c>
      <c r="M317" s="11" t="str">
        <f t="shared" si="9"/>
        <v/>
      </c>
    </row>
    <row r="318" spans="1:13" x14ac:dyDescent="0.25">
      <c r="A318" t="s">
        <v>360</v>
      </c>
      <c r="B318">
        <v>289</v>
      </c>
      <c r="C318">
        <v>3</v>
      </c>
      <c r="D318" s="13" t="str">
        <f>IFERROR(VLOOKUP(C318,[1]Sheet1!$A$1:$C$41,2,0),"Merchant Not Found")</f>
        <v>Merchant_003</v>
      </c>
      <c r="E318" s="7">
        <v>46051.806250000001</v>
      </c>
      <c r="F318">
        <v>49</v>
      </c>
      <c r="G318" s="8" t="s">
        <v>44</v>
      </c>
      <c r="H318" s="8" t="s">
        <v>40</v>
      </c>
      <c r="I318">
        <v>3</v>
      </c>
      <c r="J318" s="9">
        <f t="shared" si="8"/>
        <v>46051</v>
      </c>
      <c r="K318" s="10">
        <f>INDEX(Daily_Merchant_Pivot!$B$3:$AO$32,MATCH(J318,Daily_Merchant_Pivot!$A$3:$A$32,0),MATCH(C318,Daily_Merchant_Pivot!$B$2:$AO$2,0))</f>
        <v>49</v>
      </c>
      <c r="L318" s="3" t="str">
        <f>INDEX(Merchant_Region_Map!$D$3:$D$42,MATCH(C318,Merchant_Region_Map!$A$3:$A$42,0))</f>
        <v>East</v>
      </c>
      <c r="M318" s="11" t="str">
        <f t="shared" si="9"/>
        <v/>
      </c>
    </row>
    <row r="319" spans="1:13" x14ac:dyDescent="0.25">
      <c r="A319" t="s">
        <v>361</v>
      </c>
      <c r="B319">
        <v>296</v>
      </c>
      <c r="C319">
        <v>17</v>
      </c>
      <c r="D319" s="13" t="str">
        <f>IFERROR(VLOOKUP(C319,[1]Sheet1!$A$1:$C$41,2,0),"Merchant Not Found")</f>
        <v>Merchant_017</v>
      </c>
      <c r="E319" s="7">
        <v>46025.070138888899</v>
      </c>
      <c r="F319">
        <v>99</v>
      </c>
      <c r="G319" s="8" t="s">
        <v>39</v>
      </c>
      <c r="H319" s="8" t="s">
        <v>40</v>
      </c>
      <c r="I319">
        <v>83</v>
      </c>
      <c r="J319" s="9">
        <f t="shared" si="8"/>
        <v>46025</v>
      </c>
      <c r="K319" s="10">
        <f>INDEX(Daily_Merchant_Pivot!$B$3:$AO$32,MATCH(J319,Daily_Merchant_Pivot!$A$3:$A$32,0),MATCH(C319,Daily_Merchant_Pivot!$B$2:$AO$2,0))</f>
        <v>99</v>
      </c>
      <c r="L319" s="3" t="str">
        <f>INDEX(Merchant_Region_Map!$D$3:$D$42,MATCH(C319,Merchant_Region_Map!$A$3:$A$42,0))</f>
        <v>North</v>
      </c>
      <c r="M319" s="11" t="str">
        <f t="shared" si="9"/>
        <v/>
      </c>
    </row>
    <row r="320" spans="1:13" x14ac:dyDescent="0.25">
      <c r="A320" t="s">
        <v>362</v>
      </c>
      <c r="B320">
        <v>317</v>
      </c>
      <c r="C320">
        <v>2</v>
      </c>
      <c r="D320" s="13" t="str">
        <f>IFERROR(VLOOKUP(C320,[1]Sheet1!$A$1:$C$41,2,0),"Merchant Not Found")</f>
        <v>Merchant_002</v>
      </c>
      <c r="E320" s="7">
        <v>46029.7680555556</v>
      </c>
      <c r="F320">
        <v>499</v>
      </c>
      <c r="G320" s="8" t="s">
        <v>52</v>
      </c>
      <c r="H320" s="8" t="s">
        <v>40</v>
      </c>
      <c r="I320">
        <v>63</v>
      </c>
      <c r="J320" s="9">
        <f t="shared" si="8"/>
        <v>46029</v>
      </c>
      <c r="K320" s="10">
        <f>INDEX(Daily_Merchant_Pivot!$B$3:$AO$32,MATCH(J320,Daily_Merchant_Pivot!$A$3:$A$32,0),MATCH(C320,Daily_Merchant_Pivot!$B$2:$AO$2,0))</f>
        <v>499</v>
      </c>
      <c r="L320" s="3" t="str">
        <f>INDEX(Merchant_Region_Map!$D$3:$D$42,MATCH(C320,Merchant_Region_Map!$A$3:$A$42,0))</f>
        <v>West</v>
      </c>
      <c r="M320" s="11" t="str">
        <f t="shared" si="9"/>
        <v/>
      </c>
    </row>
    <row r="321" spans="1:13" x14ac:dyDescent="0.25">
      <c r="A321" t="s">
        <v>363</v>
      </c>
      <c r="B321">
        <v>149</v>
      </c>
      <c r="C321">
        <v>20</v>
      </c>
      <c r="D321" s="13" t="str">
        <f>IFERROR(VLOOKUP(C321,[1]Sheet1!$A$1:$C$41,2,0),"Merchant Not Found")</f>
        <v>Merchant_020</v>
      </c>
      <c r="E321" s="7">
        <v>46051.8569444444</v>
      </c>
      <c r="F321">
        <v>499</v>
      </c>
      <c r="G321" s="8" t="s">
        <v>52</v>
      </c>
      <c r="H321" s="8" t="s">
        <v>40</v>
      </c>
      <c r="I321">
        <v>61</v>
      </c>
      <c r="J321" s="9">
        <f t="shared" si="8"/>
        <v>46051</v>
      </c>
      <c r="K321" s="10">
        <f>INDEX(Daily_Merchant_Pivot!$B$3:$AO$32,MATCH(J321,Daily_Merchant_Pivot!$A$3:$A$32,0),MATCH(C321,Daily_Merchant_Pivot!$B$2:$AO$2,0))</f>
        <v>499</v>
      </c>
      <c r="L321" s="3" t="str">
        <f>INDEX(Merchant_Region_Map!$D$3:$D$42,MATCH(C321,Merchant_Region_Map!$A$3:$A$42,0))</f>
        <v>East</v>
      </c>
      <c r="M321" s="11" t="str">
        <f t="shared" si="9"/>
        <v/>
      </c>
    </row>
    <row r="322" spans="1:13" x14ac:dyDescent="0.25">
      <c r="A322" t="s">
        <v>364</v>
      </c>
      <c r="B322">
        <v>153</v>
      </c>
      <c r="C322">
        <v>30</v>
      </c>
      <c r="D322" s="13" t="str">
        <f>IFERROR(VLOOKUP(C322,[1]Sheet1!$A$1:$C$41,2,0),"Merchant Not Found")</f>
        <v>Merchant_030</v>
      </c>
      <c r="E322" s="7">
        <v>46030.892361111102</v>
      </c>
      <c r="F322">
        <v>299</v>
      </c>
      <c r="G322" s="8" t="s">
        <v>39</v>
      </c>
      <c r="H322" s="8" t="s">
        <v>40</v>
      </c>
      <c r="I322">
        <v>9</v>
      </c>
      <c r="J322" s="9">
        <f t="shared" si="8"/>
        <v>46030</v>
      </c>
      <c r="K322" s="10">
        <f>INDEX(Daily_Merchant_Pivot!$B$3:$AO$32,MATCH(J322,Daily_Merchant_Pivot!$A$3:$A$32,0),MATCH(C322,Daily_Merchant_Pivot!$B$2:$AO$2,0))</f>
        <v>1197</v>
      </c>
      <c r="L322" s="3" t="str">
        <f>INDEX(Merchant_Region_Map!$D$3:$D$42,MATCH(C322,Merchant_Region_Map!$A$3:$A$42,0))</f>
        <v>West</v>
      </c>
      <c r="M322" s="11" t="str">
        <f t="shared" si="9"/>
        <v/>
      </c>
    </row>
    <row r="323" spans="1:13" x14ac:dyDescent="0.25">
      <c r="A323" t="s">
        <v>365</v>
      </c>
      <c r="B323">
        <v>226</v>
      </c>
      <c r="C323">
        <v>27</v>
      </c>
      <c r="D323" s="13" t="str">
        <f>IFERROR(VLOOKUP(C323,[1]Sheet1!$A$1:$C$41,2,0),"Merchant Not Found")</f>
        <v>Merchant_027</v>
      </c>
      <c r="E323" s="7">
        <v>46045.048611111102</v>
      </c>
      <c r="F323">
        <v>2999</v>
      </c>
      <c r="G323" s="8" t="s">
        <v>39</v>
      </c>
      <c r="H323" s="8" t="s">
        <v>66</v>
      </c>
      <c r="I323">
        <v>61</v>
      </c>
      <c r="J323" s="9">
        <f t="shared" ref="J323:J386" si="10">INT(E323)</f>
        <v>46045</v>
      </c>
      <c r="K323" s="10">
        <f>INDEX(Daily_Merchant_Pivot!$B$3:$AO$32,MATCH(J323,Daily_Merchant_Pivot!$A$3:$A$32,0),MATCH(C323,Daily_Merchant_Pivot!$B$2:$AO$2,0))</f>
        <v>2999</v>
      </c>
      <c r="L323" s="3" t="str">
        <f>INDEX(Merchant_Region_Map!$D$3:$D$42,MATCH(C323,Merchant_Region_Map!$A$3:$A$42,0))</f>
        <v>North</v>
      </c>
      <c r="M323" s="11" t="str">
        <f t="shared" ref="M323:M386" si="11">IF(AND(K323&gt;5000,L323&lt;&gt;"East"),"High-Value Merchant Day","")</f>
        <v/>
      </c>
    </row>
    <row r="324" spans="1:13" x14ac:dyDescent="0.25">
      <c r="A324" t="s">
        <v>366</v>
      </c>
      <c r="B324">
        <v>311</v>
      </c>
      <c r="C324">
        <v>10</v>
      </c>
      <c r="D324" s="13" t="str">
        <f>IFERROR(VLOOKUP(C324,[1]Sheet1!$A$1:$C$41,2,0),"Merchant Not Found")</f>
        <v>Merchant_010</v>
      </c>
      <c r="E324" s="7">
        <v>46037.264583333301</v>
      </c>
      <c r="F324">
        <v>2999</v>
      </c>
      <c r="G324" s="8" t="s">
        <v>39</v>
      </c>
      <c r="H324" s="8" t="s">
        <v>40</v>
      </c>
      <c r="I324">
        <v>40</v>
      </c>
      <c r="J324" s="9">
        <f t="shared" si="10"/>
        <v>46037</v>
      </c>
      <c r="K324" s="10">
        <f>INDEX(Daily_Merchant_Pivot!$B$3:$AO$32,MATCH(J324,Daily_Merchant_Pivot!$A$3:$A$32,0),MATCH(C324,Daily_Merchant_Pivot!$B$2:$AO$2,0))</f>
        <v>2999</v>
      </c>
      <c r="L324" s="3" t="str">
        <f>INDEX(Merchant_Region_Map!$D$3:$D$42,MATCH(C324,Merchant_Region_Map!$A$3:$A$42,0))</f>
        <v>West</v>
      </c>
      <c r="M324" s="11" t="str">
        <f t="shared" si="11"/>
        <v/>
      </c>
    </row>
    <row r="325" spans="1:13" x14ac:dyDescent="0.25">
      <c r="A325" t="s">
        <v>367</v>
      </c>
      <c r="B325">
        <v>177</v>
      </c>
      <c r="C325">
        <v>26</v>
      </c>
      <c r="D325" s="13" t="str">
        <f>IFERROR(VLOOKUP(C325,[1]Sheet1!$A$1:$C$41,2,0),"Merchant Not Found")</f>
        <v>Merchant_026</v>
      </c>
      <c r="E325" s="7">
        <v>46050.930555555598</v>
      </c>
      <c r="F325">
        <v>1499</v>
      </c>
      <c r="G325" s="8" t="s">
        <v>39</v>
      </c>
      <c r="H325" s="8" t="s">
        <v>40</v>
      </c>
      <c r="I325">
        <v>16</v>
      </c>
      <c r="J325" s="9">
        <f t="shared" si="10"/>
        <v>46050</v>
      </c>
      <c r="K325" s="10">
        <f>INDEX(Daily_Merchant_Pivot!$B$3:$AO$32,MATCH(J325,Daily_Merchant_Pivot!$A$3:$A$32,0),MATCH(C325,Daily_Merchant_Pivot!$B$2:$AO$2,0))</f>
        <v>1499</v>
      </c>
      <c r="L325" s="3" t="str">
        <f>INDEX(Merchant_Region_Map!$D$3:$D$42,MATCH(C325,Merchant_Region_Map!$A$3:$A$42,0))</f>
        <v>East</v>
      </c>
      <c r="M325" s="11" t="str">
        <f t="shared" si="11"/>
        <v/>
      </c>
    </row>
    <row r="326" spans="1:13" x14ac:dyDescent="0.25">
      <c r="A326" t="s">
        <v>368</v>
      </c>
      <c r="B326">
        <v>288</v>
      </c>
      <c r="C326">
        <v>7</v>
      </c>
      <c r="D326" s="13" t="str">
        <f>IFERROR(VLOOKUP(C326,[1]Sheet1!$A$1:$C$41,2,0),"Merchant Not Found")</f>
        <v>Merchant_007</v>
      </c>
      <c r="E326" s="7">
        <v>46047.480555555601</v>
      </c>
      <c r="F326">
        <v>99</v>
      </c>
      <c r="G326" s="8" t="s">
        <v>44</v>
      </c>
      <c r="H326" s="8" t="s">
        <v>40</v>
      </c>
      <c r="I326">
        <v>40</v>
      </c>
      <c r="J326" s="9">
        <f t="shared" si="10"/>
        <v>46047</v>
      </c>
      <c r="K326" s="10">
        <f>INDEX(Daily_Merchant_Pivot!$B$3:$AO$32,MATCH(J326,Daily_Merchant_Pivot!$A$3:$A$32,0),MATCH(C326,Daily_Merchant_Pivot!$B$2:$AO$2,0))</f>
        <v>99</v>
      </c>
      <c r="L326" s="3" t="str">
        <f>INDEX(Merchant_Region_Map!$D$3:$D$42,MATCH(C326,Merchant_Region_Map!$A$3:$A$42,0))</f>
        <v>East</v>
      </c>
      <c r="M326" s="11" t="str">
        <f t="shared" si="11"/>
        <v/>
      </c>
    </row>
    <row r="327" spans="1:13" x14ac:dyDescent="0.25">
      <c r="A327" t="s">
        <v>369</v>
      </c>
      <c r="B327">
        <v>137</v>
      </c>
      <c r="C327">
        <v>29</v>
      </c>
      <c r="D327" s="13" t="str">
        <f>IFERROR(VLOOKUP(C327,[1]Sheet1!$A$1:$C$41,2,0),"Merchant Not Found")</f>
        <v>Merchant_029</v>
      </c>
      <c r="E327" s="7">
        <v>46030.588194444397</v>
      </c>
      <c r="F327">
        <v>2999</v>
      </c>
      <c r="G327" s="8" t="s">
        <v>39</v>
      </c>
      <c r="H327" s="8" t="s">
        <v>53</v>
      </c>
      <c r="I327">
        <v>31</v>
      </c>
      <c r="J327" s="9">
        <f t="shared" si="10"/>
        <v>46030</v>
      </c>
      <c r="K327" s="10">
        <f>INDEX(Daily_Merchant_Pivot!$B$3:$AO$32,MATCH(J327,Daily_Merchant_Pivot!$A$3:$A$32,0),MATCH(C327,Daily_Merchant_Pivot!$B$2:$AO$2,0))</f>
        <v>0</v>
      </c>
      <c r="L327" s="3" t="str">
        <f>INDEX(Merchant_Region_Map!$D$3:$D$42,MATCH(C327,Merchant_Region_Map!$A$3:$A$42,0))</f>
        <v>North</v>
      </c>
      <c r="M327" s="11" t="str">
        <f t="shared" si="11"/>
        <v/>
      </c>
    </row>
    <row r="328" spans="1:13" x14ac:dyDescent="0.25">
      <c r="A328" t="s">
        <v>370</v>
      </c>
      <c r="B328">
        <v>149</v>
      </c>
      <c r="C328">
        <v>25</v>
      </c>
      <c r="D328" s="13" t="str">
        <f>IFERROR(VLOOKUP(C328,[1]Sheet1!$A$1:$C$41,2,0),"Merchant Not Found")</f>
        <v>Merchant_025</v>
      </c>
      <c r="E328" s="7">
        <v>46027.127083333296</v>
      </c>
      <c r="F328">
        <v>1499</v>
      </c>
      <c r="G328" s="8" t="s">
        <v>39</v>
      </c>
      <c r="H328" s="8" t="s">
        <v>40</v>
      </c>
      <c r="I328">
        <v>78</v>
      </c>
      <c r="J328" s="9">
        <f t="shared" si="10"/>
        <v>46027</v>
      </c>
      <c r="K328" s="10">
        <f>INDEX(Daily_Merchant_Pivot!$B$3:$AO$32,MATCH(J328,Daily_Merchant_Pivot!$A$3:$A$32,0),MATCH(C328,Daily_Merchant_Pivot!$B$2:$AO$2,0))</f>
        <v>4498</v>
      </c>
      <c r="L328" s="3" t="str">
        <f>INDEX(Merchant_Region_Map!$D$3:$D$42,MATCH(C328,Merchant_Region_Map!$A$3:$A$42,0))</f>
        <v>South</v>
      </c>
      <c r="M328" s="11" t="str">
        <f t="shared" si="11"/>
        <v/>
      </c>
    </row>
    <row r="329" spans="1:13" x14ac:dyDescent="0.25">
      <c r="A329" t="s">
        <v>371</v>
      </c>
      <c r="B329">
        <v>82</v>
      </c>
      <c r="C329">
        <v>21</v>
      </c>
      <c r="D329" s="13" t="str">
        <f>IFERROR(VLOOKUP(C329,[1]Sheet1!$A$1:$C$41,2,0),"Merchant Not Found")</f>
        <v>Merchant_021</v>
      </c>
      <c r="E329" s="7">
        <v>46036.329861111102</v>
      </c>
      <c r="F329">
        <v>49</v>
      </c>
      <c r="G329" s="8" t="s">
        <v>42</v>
      </c>
      <c r="H329" s="8" t="s">
        <v>40</v>
      </c>
      <c r="I329">
        <v>73</v>
      </c>
      <c r="J329" s="9">
        <f t="shared" si="10"/>
        <v>46036</v>
      </c>
      <c r="K329" s="10">
        <f>INDEX(Daily_Merchant_Pivot!$B$3:$AO$32,MATCH(J329,Daily_Merchant_Pivot!$A$3:$A$32,0),MATCH(C329,Daily_Merchant_Pivot!$B$2:$AO$2,0))</f>
        <v>49</v>
      </c>
      <c r="L329" s="3" t="str">
        <f>INDEX(Merchant_Region_Map!$D$3:$D$42,MATCH(C329,Merchant_Region_Map!$A$3:$A$42,0))</f>
        <v>East</v>
      </c>
      <c r="M329" s="11" t="str">
        <f t="shared" si="11"/>
        <v/>
      </c>
    </row>
    <row r="330" spans="1:13" x14ac:dyDescent="0.25">
      <c r="A330" t="s">
        <v>372</v>
      </c>
      <c r="B330">
        <v>82</v>
      </c>
      <c r="C330">
        <v>32</v>
      </c>
      <c r="D330" s="13" t="str">
        <f>IFERROR(VLOOKUP(C330,[1]Sheet1!$A$1:$C$41,2,0),"Merchant Not Found")</f>
        <v>Merchant_032</v>
      </c>
      <c r="E330" s="7">
        <v>46046.425000000003</v>
      </c>
      <c r="F330">
        <v>49</v>
      </c>
      <c r="G330" s="8" t="s">
        <v>39</v>
      </c>
      <c r="H330" s="8" t="s">
        <v>40</v>
      </c>
      <c r="I330">
        <v>65</v>
      </c>
      <c r="J330" s="9">
        <f t="shared" si="10"/>
        <v>46046</v>
      </c>
      <c r="K330" s="10">
        <f>INDEX(Daily_Merchant_Pivot!$B$3:$AO$32,MATCH(J330,Daily_Merchant_Pivot!$A$3:$A$32,0),MATCH(C330,Daily_Merchant_Pivot!$B$2:$AO$2,0))</f>
        <v>49</v>
      </c>
      <c r="L330" s="3" t="str">
        <f>INDEX(Merchant_Region_Map!$D$3:$D$42,MATCH(C330,Merchant_Region_Map!$A$3:$A$42,0))</f>
        <v>West</v>
      </c>
      <c r="M330" s="11" t="str">
        <f t="shared" si="11"/>
        <v/>
      </c>
    </row>
    <row r="331" spans="1:13" x14ac:dyDescent="0.25">
      <c r="A331" t="s">
        <v>373</v>
      </c>
      <c r="B331">
        <v>158</v>
      </c>
      <c r="C331">
        <v>32</v>
      </c>
      <c r="D331" s="13" t="str">
        <f>IFERROR(VLOOKUP(C331,[1]Sheet1!$A$1:$C$41,2,0),"Merchant Not Found")</f>
        <v>Merchant_032</v>
      </c>
      <c r="E331" s="7">
        <v>46037.663888888899</v>
      </c>
      <c r="F331">
        <v>99</v>
      </c>
      <c r="G331" s="8" t="s">
        <v>42</v>
      </c>
      <c r="H331" s="8" t="s">
        <v>40</v>
      </c>
      <c r="I331">
        <v>2</v>
      </c>
      <c r="J331" s="9">
        <f t="shared" si="10"/>
        <v>46037</v>
      </c>
      <c r="K331" s="10">
        <f>INDEX(Daily_Merchant_Pivot!$B$3:$AO$32,MATCH(J331,Daily_Merchant_Pivot!$A$3:$A$32,0),MATCH(C331,Daily_Merchant_Pivot!$B$2:$AO$2,0))</f>
        <v>99</v>
      </c>
      <c r="L331" s="3" t="str">
        <f>INDEX(Merchant_Region_Map!$D$3:$D$42,MATCH(C331,Merchant_Region_Map!$A$3:$A$42,0))</f>
        <v>West</v>
      </c>
      <c r="M331" s="11" t="str">
        <f t="shared" si="11"/>
        <v/>
      </c>
    </row>
    <row r="332" spans="1:13" x14ac:dyDescent="0.25">
      <c r="A332" t="s">
        <v>374</v>
      </c>
      <c r="B332">
        <v>235</v>
      </c>
      <c r="C332">
        <v>16</v>
      </c>
      <c r="D332" s="13" t="str">
        <f>IFERROR(VLOOKUP(C332,[1]Sheet1!$A$1:$C$41,2,0),"Merchant Not Found")</f>
        <v>Merchant_016</v>
      </c>
      <c r="E332" s="7">
        <v>46025.5222222222</v>
      </c>
      <c r="F332">
        <v>99</v>
      </c>
      <c r="G332" s="8" t="s">
        <v>39</v>
      </c>
      <c r="H332" s="8" t="s">
        <v>40</v>
      </c>
      <c r="I332">
        <v>27</v>
      </c>
      <c r="J332" s="9">
        <f t="shared" si="10"/>
        <v>46025</v>
      </c>
      <c r="K332" s="10">
        <f>INDEX(Daily_Merchant_Pivot!$B$3:$AO$32,MATCH(J332,Daily_Merchant_Pivot!$A$3:$A$32,0),MATCH(C332,Daily_Merchant_Pivot!$B$2:$AO$2,0))</f>
        <v>99</v>
      </c>
      <c r="L332" s="3" t="str">
        <f>INDEX(Merchant_Region_Map!$D$3:$D$42,MATCH(C332,Merchant_Region_Map!$A$3:$A$42,0))</f>
        <v>West</v>
      </c>
      <c r="M332" s="11" t="str">
        <f t="shared" si="11"/>
        <v/>
      </c>
    </row>
    <row r="333" spans="1:13" x14ac:dyDescent="0.25">
      <c r="A333" t="s">
        <v>375</v>
      </c>
      <c r="B333">
        <v>26</v>
      </c>
      <c r="C333">
        <v>19</v>
      </c>
      <c r="D333" s="13" t="str">
        <f>IFERROR(VLOOKUP(C333,[1]Sheet1!$A$1:$C$41,2,0),"Merchant Not Found")</f>
        <v>Merchant_019</v>
      </c>
      <c r="E333" s="7">
        <v>46041.460416666698</v>
      </c>
      <c r="F333">
        <v>99</v>
      </c>
      <c r="G333" s="8" t="s">
        <v>42</v>
      </c>
      <c r="H333" s="8" t="s">
        <v>40</v>
      </c>
      <c r="I333">
        <v>63</v>
      </c>
      <c r="J333" s="9">
        <f t="shared" si="10"/>
        <v>46041</v>
      </c>
      <c r="K333" s="10">
        <f>INDEX(Daily_Merchant_Pivot!$B$3:$AO$32,MATCH(J333,Daily_Merchant_Pivot!$A$3:$A$32,0),MATCH(C333,Daily_Merchant_Pivot!$B$2:$AO$2,0))</f>
        <v>99</v>
      </c>
      <c r="L333" s="3" t="str">
        <f>INDEX(Merchant_Region_Map!$D$3:$D$42,MATCH(C333,Merchant_Region_Map!$A$3:$A$42,0))</f>
        <v>North</v>
      </c>
      <c r="M333" s="11" t="str">
        <f t="shared" si="11"/>
        <v/>
      </c>
    </row>
    <row r="334" spans="1:13" x14ac:dyDescent="0.25">
      <c r="A334" t="s">
        <v>376</v>
      </c>
      <c r="B334">
        <v>241</v>
      </c>
      <c r="C334">
        <v>19</v>
      </c>
      <c r="D334" s="13" t="str">
        <f>IFERROR(VLOOKUP(C334,[1]Sheet1!$A$1:$C$41,2,0),"Merchant Not Found")</f>
        <v>Merchant_019</v>
      </c>
      <c r="E334" s="7">
        <v>46042.863194444399</v>
      </c>
      <c r="F334">
        <v>299</v>
      </c>
      <c r="G334" s="8" t="s">
        <v>39</v>
      </c>
      <c r="H334" s="8" t="s">
        <v>40</v>
      </c>
      <c r="I334">
        <v>68</v>
      </c>
      <c r="J334" s="9">
        <f t="shared" si="10"/>
        <v>46042</v>
      </c>
      <c r="K334" s="10">
        <f>INDEX(Daily_Merchant_Pivot!$B$3:$AO$32,MATCH(J334,Daily_Merchant_Pivot!$A$3:$A$32,0),MATCH(C334,Daily_Merchant_Pivot!$B$2:$AO$2,0))</f>
        <v>348</v>
      </c>
      <c r="L334" s="3" t="str">
        <f>INDEX(Merchant_Region_Map!$D$3:$D$42,MATCH(C334,Merchant_Region_Map!$A$3:$A$42,0))</f>
        <v>North</v>
      </c>
      <c r="M334" s="11" t="str">
        <f t="shared" si="11"/>
        <v/>
      </c>
    </row>
    <row r="335" spans="1:13" x14ac:dyDescent="0.25">
      <c r="A335" t="s">
        <v>377</v>
      </c>
      <c r="B335">
        <v>69</v>
      </c>
      <c r="C335">
        <v>17</v>
      </c>
      <c r="D335" s="13" t="str">
        <f>IFERROR(VLOOKUP(C335,[1]Sheet1!$A$1:$C$41,2,0),"Merchant Not Found")</f>
        <v>Merchant_017</v>
      </c>
      <c r="E335" s="7">
        <v>46023.143750000003</v>
      </c>
      <c r="F335">
        <v>1499</v>
      </c>
      <c r="G335" s="8" t="s">
        <v>39</v>
      </c>
      <c r="H335" s="8" t="s">
        <v>40</v>
      </c>
      <c r="I335">
        <v>93</v>
      </c>
      <c r="J335" s="9">
        <f t="shared" si="10"/>
        <v>46023</v>
      </c>
      <c r="K335" s="10">
        <f>INDEX(Daily_Merchant_Pivot!$B$3:$AO$32,MATCH(J335,Daily_Merchant_Pivot!$A$3:$A$32,0),MATCH(C335,Daily_Merchant_Pivot!$B$2:$AO$2,0))</f>
        <v>1499</v>
      </c>
      <c r="L335" s="3" t="str">
        <f>INDEX(Merchant_Region_Map!$D$3:$D$42,MATCH(C335,Merchant_Region_Map!$A$3:$A$42,0))</f>
        <v>North</v>
      </c>
      <c r="M335" s="11" t="str">
        <f t="shared" si="11"/>
        <v/>
      </c>
    </row>
    <row r="336" spans="1:13" x14ac:dyDescent="0.25">
      <c r="A336" t="s">
        <v>378</v>
      </c>
      <c r="B336">
        <v>24</v>
      </c>
      <c r="C336">
        <v>26</v>
      </c>
      <c r="D336" s="13" t="str">
        <f>IFERROR(VLOOKUP(C336,[1]Sheet1!$A$1:$C$41,2,0),"Merchant Not Found")</f>
        <v>Merchant_026</v>
      </c>
      <c r="E336" s="7">
        <v>46034.515972222202</v>
      </c>
      <c r="F336">
        <v>299</v>
      </c>
      <c r="G336" s="8" t="s">
        <v>44</v>
      </c>
      <c r="H336" s="8" t="s">
        <v>40</v>
      </c>
      <c r="I336">
        <v>6</v>
      </c>
      <c r="J336" s="9">
        <f t="shared" si="10"/>
        <v>46034</v>
      </c>
      <c r="K336" s="10">
        <f>INDEX(Daily_Merchant_Pivot!$B$3:$AO$32,MATCH(J336,Daily_Merchant_Pivot!$A$3:$A$32,0),MATCH(C336,Daily_Merchant_Pivot!$B$2:$AO$2,0))</f>
        <v>299</v>
      </c>
      <c r="L336" s="3" t="str">
        <f>INDEX(Merchant_Region_Map!$D$3:$D$42,MATCH(C336,Merchant_Region_Map!$A$3:$A$42,0))</f>
        <v>East</v>
      </c>
      <c r="M336" s="11" t="str">
        <f t="shared" si="11"/>
        <v/>
      </c>
    </row>
    <row r="337" spans="1:13" x14ac:dyDescent="0.25">
      <c r="A337" t="s">
        <v>379</v>
      </c>
      <c r="B337">
        <v>231</v>
      </c>
      <c r="C337">
        <v>36</v>
      </c>
      <c r="D337" s="13" t="str">
        <f>IFERROR(VLOOKUP(C337,[1]Sheet1!$A$1:$C$41,2,0),"Merchant Not Found")</f>
        <v>Merchant_036</v>
      </c>
      <c r="E337" s="7">
        <v>46025.5222222222</v>
      </c>
      <c r="F337">
        <v>149</v>
      </c>
      <c r="G337" s="8" t="s">
        <v>39</v>
      </c>
      <c r="H337" s="8" t="s">
        <v>40</v>
      </c>
      <c r="I337">
        <v>35</v>
      </c>
      <c r="J337" s="9">
        <f t="shared" si="10"/>
        <v>46025</v>
      </c>
      <c r="K337" s="10">
        <f>INDEX(Daily_Merchant_Pivot!$B$3:$AO$32,MATCH(J337,Daily_Merchant_Pivot!$A$3:$A$32,0),MATCH(C337,Daily_Merchant_Pivot!$B$2:$AO$2,0))</f>
        <v>248</v>
      </c>
      <c r="L337" s="3" t="str">
        <f>INDEX(Merchant_Region_Map!$D$3:$D$42,MATCH(C337,Merchant_Region_Map!$A$3:$A$42,0))</f>
        <v>East</v>
      </c>
      <c r="M337" s="11" t="str">
        <f t="shared" si="11"/>
        <v/>
      </c>
    </row>
    <row r="338" spans="1:13" x14ac:dyDescent="0.25">
      <c r="A338" t="s">
        <v>380</v>
      </c>
      <c r="B338">
        <v>313</v>
      </c>
      <c r="C338">
        <v>8</v>
      </c>
      <c r="D338" s="13" t="str">
        <f>IFERROR(VLOOKUP(C338,[1]Sheet1!$A$1:$C$41,2,0),"Merchant Not Found")</f>
        <v>Merchant_008</v>
      </c>
      <c r="E338" s="7">
        <v>46049.8215277778</v>
      </c>
      <c r="F338">
        <v>1499</v>
      </c>
      <c r="G338" s="8" t="s">
        <v>44</v>
      </c>
      <c r="H338" s="8" t="s">
        <v>40</v>
      </c>
      <c r="I338">
        <v>16</v>
      </c>
      <c r="J338" s="9">
        <f t="shared" si="10"/>
        <v>46049</v>
      </c>
      <c r="K338" s="10">
        <f>INDEX(Daily_Merchant_Pivot!$B$3:$AO$32,MATCH(J338,Daily_Merchant_Pivot!$A$3:$A$32,0),MATCH(C338,Daily_Merchant_Pivot!$B$2:$AO$2,0))</f>
        <v>1499</v>
      </c>
      <c r="L338" s="3" t="str">
        <f>INDEX(Merchant_Region_Map!$D$3:$D$42,MATCH(C338,Merchant_Region_Map!$A$3:$A$42,0))</f>
        <v>North</v>
      </c>
      <c r="M338" s="11" t="str">
        <f t="shared" si="11"/>
        <v/>
      </c>
    </row>
    <row r="339" spans="1:13" x14ac:dyDescent="0.25">
      <c r="A339" t="s">
        <v>381</v>
      </c>
      <c r="B339">
        <v>174</v>
      </c>
      <c r="C339">
        <v>36</v>
      </c>
      <c r="D339" s="13" t="str">
        <f>IFERROR(VLOOKUP(C339,[1]Sheet1!$A$1:$C$41,2,0),"Merchant Not Found")</f>
        <v>Merchant_036</v>
      </c>
      <c r="E339" s="7">
        <v>46026.515972222202</v>
      </c>
      <c r="F339">
        <v>149</v>
      </c>
      <c r="G339" s="8" t="s">
        <v>39</v>
      </c>
      <c r="H339" s="8" t="s">
        <v>40</v>
      </c>
      <c r="I339">
        <v>46</v>
      </c>
      <c r="J339" s="9">
        <f t="shared" si="10"/>
        <v>46026</v>
      </c>
      <c r="K339" s="10">
        <f>INDEX(Daily_Merchant_Pivot!$B$3:$AO$32,MATCH(J339,Daily_Merchant_Pivot!$A$3:$A$32,0),MATCH(C339,Daily_Merchant_Pivot!$B$2:$AO$2,0))</f>
        <v>149</v>
      </c>
      <c r="L339" s="3" t="str">
        <f>INDEX(Merchant_Region_Map!$D$3:$D$42,MATCH(C339,Merchant_Region_Map!$A$3:$A$42,0))</f>
        <v>East</v>
      </c>
      <c r="M339" s="11" t="str">
        <f t="shared" si="11"/>
        <v/>
      </c>
    </row>
    <row r="340" spans="1:13" x14ac:dyDescent="0.25">
      <c r="A340" t="s">
        <v>382</v>
      </c>
      <c r="B340">
        <v>309</v>
      </c>
      <c r="C340">
        <v>33</v>
      </c>
      <c r="D340" s="13" t="str">
        <f>IFERROR(VLOOKUP(C340,[1]Sheet1!$A$1:$C$41,2,0),"Merchant Not Found")</f>
        <v>Merchant_033</v>
      </c>
      <c r="E340" s="7">
        <v>46047.175000000003</v>
      </c>
      <c r="F340">
        <v>99</v>
      </c>
      <c r="G340" s="8" t="s">
        <v>39</v>
      </c>
      <c r="H340" s="8" t="s">
        <v>40</v>
      </c>
      <c r="I340">
        <v>51</v>
      </c>
      <c r="J340" s="9">
        <f t="shared" si="10"/>
        <v>46047</v>
      </c>
      <c r="K340" s="10">
        <f>INDEX(Daily_Merchant_Pivot!$B$3:$AO$32,MATCH(J340,Daily_Merchant_Pivot!$A$3:$A$32,0),MATCH(C340,Daily_Merchant_Pivot!$B$2:$AO$2,0))</f>
        <v>99</v>
      </c>
      <c r="L340" s="3" t="str">
        <f>INDEX(Merchant_Region_Map!$D$3:$D$42,MATCH(C340,Merchant_Region_Map!$A$3:$A$42,0))</f>
        <v>East</v>
      </c>
      <c r="M340" s="11" t="str">
        <f t="shared" si="11"/>
        <v/>
      </c>
    </row>
    <row r="341" spans="1:13" x14ac:dyDescent="0.25">
      <c r="A341" t="s">
        <v>383</v>
      </c>
      <c r="B341">
        <v>20</v>
      </c>
      <c r="C341">
        <v>9</v>
      </c>
      <c r="D341" s="13" t="str">
        <f>IFERROR(VLOOKUP(C341,[1]Sheet1!$A$1:$C$41,2,0),"Merchant Not Found")</f>
        <v>Merchant_009</v>
      </c>
      <c r="E341" s="7">
        <v>46039.043055555601</v>
      </c>
      <c r="F341">
        <v>99</v>
      </c>
      <c r="G341" s="8" t="s">
        <v>39</v>
      </c>
      <c r="H341" s="8" t="s">
        <v>40</v>
      </c>
      <c r="I341">
        <v>91</v>
      </c>
      <c r="J341" s="9">
        <f t="shared" si="10"/>
        <v>46039</v>
      </c>
      <c r="K341" s="10">
        <f>INDEX(Daily_Merchant_Pivot!$B$3:$AO$32,MATCH(J341,Daily_Merchant_Pivot!$A$3:$A$32,0),MATCH(C341,Daily_Merchant_Pivot!$B$2:$AO$2,0))</f>
        <v>248</v>
      </c>
      <c r="L341" s="3" t="str">
        <f>INDEX(Merchant_Region_Map!$D$3:$D$42,MATCH(C341,Merchant_Region_Map!$A$3:$A$42,0))</f>
        <v>North</v>
      </c>
      <c r="M341" s="11" t="str">
        <f t="shared" si="11"/>
        <v/>
      </c>
    </row>
    <row r="342" spans="1:13" x14ac:dyDescent="0.25">
      <c r="A342" t="s">
        <v>384</v>
      </c>
      <c r="B342">
        <v>234</v>
      </c>
      <c r="C342">
        <v>10</v>
      </c>
      <c r="D342" s="13" t="str">
        <f>IFERROR(VLOOKUP(C342,[1]Sheet1!$A$1:$C$41,2,0),"Merchant Not Found")</f>
        <v>Merchant_010</v>
      </c>
      <c r="E342" s="7">
        <v>46033.647916666698</v>
      </c>
      <c r="F342">
        <v>49</v>
      </c>
      <c r="G342" s="8" t="s">
        <v>39</v>
      </c>
      <c r="H342" s="8" t="s">
        <v>40</v>
      </c>
      <c r="I342">
        <v>77</v>
      </c>
      <c r="J342" s="9">
        <f t="shared" si="10"/>
        <v>46033</v>
      </c>
      <c r="K342" s="10">
        <f>INDEX(Daily_Merchant_Pivot!$B$3:$AO$32,MATCH(J342,Daily_Merchant_Pivot!$A$3:$A$32,0),MATCH(C342,Daily_Merchant_Pivot!$B$2:$AO$2,0))</f>
        <v>98</v>
      </c>
      <c r="L342" s="3" t="str">
        <f>INDEX(Merchant_Region_Map!$D$3:$D$42,MATCH(C342,Merchant_Region_Map!$A$3:$A$42,0))</f>
        <v>West</v>
      </c>
      <c r="M342" s="11" t="str">
        <f t="shared" si="11"/>
        <v/>
      </c>
    </row>
    <row r="343" spans="1:13" x14ac:dyDescent="0.25">
      <c r="A343" t="s">
        <v>385</v>
      </c>
      <c r="B343">
        <v>168</v>
      </c>
      <c r="C343">
        <v>40</v>
      </c>
      <c r="D343" s="13" t="str">
        <f>IFERROR(VLOOKUP(C343,[1]Sheet1!$A$1:$C$41,2,0),"Merchant Not Found")</f>
        <v>Merchant_040</v>
      </c>
      <c r="E343" s="7">
        <v>46051.672222222202</v>
      </c>
      <c r="F343">
        <v>149</v>
      </c>
      <c r="G343" s="8" t="s">
        <v>39</v>
      </c>
      <c r="H343" s="8" t="s">
        <v>66</v>
      </c>
      <c r="I343">
        <v>40</v>
      </c>
      <c r="J343" s="9">
        <f t="shared" si="10"/>
        <v>46051</v>
      </c>
      <c r="K343" s="10">
        <f>INDEX(Daily_Merchant_Pivot!$B$3:$AO$32,MATCH(J343,Daily_Merchant_Pivot!$A$3:$A$32,0),MATCH(C343,Daily_Merchant_Pivot!$B$2:$AO$2,0))</f>
        <v>0</v>
      </c>
      <c r="L343" s="3" t="str">
        <f>INDEX(Merchant_Region_Map!$D$3:$D$42,MATCH(C343,Merchant_Region_Map!$A$3:$A$42,0))</f>
        <v>South</v>
      </c>
      <c r="M343" s="11" t="str">
        <f t="shared" si="11"/>
        <v/>
      </c>
    </row>
    <row r="344" spans="1:13" x14ac:dyDescent="0.25">
      <c r="A344" t="s">
        <v>386</v>
      </c>
      <c r="B344">
        <v>154</v>
      </c>
      <c r="C344">
        <v>38</v>
      </c>
      <c r="D344" s="13" t="str">
        <f>IFERROR(VLOOKUP(C344,[1]Sheet1!$A$1:$C$41,2,0),"Merchant Not Found")</f>
        <v>Merchant_038</v>
      </c>
      <c r="E344" s="7">
        <v>46028.527083333298</v>
      </c>
      <c r="F344">
        <v>99</v>
      </c>
      <c r="G344" s="8" t="s">
        <v>44</v>
      </c>
      <c r="H344" s="8" t="s">
        <v>40</v>
      </c>
      <c r="I344">
        <v>43</v>
      </c>
      <c r="J344" s="9">
        <f t="shared" si="10"/>
        <v>46028</v>
      </c>
      <c r="K344" s="10">
        <f>INDEX(Daily_Merchant_Pivot!$B$3:$AO$32,MATCH(J344,Daily_Merchant_Pivot!$A$3:$A$32,0),MATCH(C344,Daily_Merchant_Pivot!$B$2:$AO$2,0))</f>
        <v>99</v>
      </c>
      <c r="L344" s="3" t="str">
        <f>INDEX(Merchant_Region_Map!$D$3:$D$42,MATCH(C344,Merchant_Region_Map!$A$3:$A$42,0))</f>
        <v>East</v>
      </c>
      <c r="M344" s="11" t="str">
        <f t="shared" si="11"/>
        <v/>
      </c>
    </row>
    <row r="345" spans="1:13" x14ac:dyDescent="0.25">
      <c r="A345" t="s">
        <v>387</v>
      </c>
      <c r="B345">
        <v>170</v>
      </c>
      <c r="C345">
        <v>8</v>
      </c>
      <c r="D345" s="13" t="str">
        <f>IFERROR(VLOOKUP(C345,[1]Sheet1!$A$1:$C$41,2,0),"Merchant Not Found")</f>
        <v>Merchant_008</v>
      </c>
      <c r="E345" s="7">
        <v>46038.015972222202</v>
      </c>
      <c r="F345">
        <v>2999</v>
      </c>
      <c r="G345" s="8" t="s">
        <v>39</v>
      </c>
      <c r="H345" s="8" t="s">
        <v>40</v>
      </c>
      <c r="I345">
        <v>53</v>
      </c>
      <c r="J345" s="9">
        <f t="shared" si="10"/>
        <v>46038</v>
      </c>
      <c r="K345" s="10">
        <f>INDEX(Daily_Merchant_Pivot!$B$3:$AO$32,MATCH(J345,Daily_Merchant_Pivot!$A$3:$A$32,0),MATCH(C345,Daily_Merchant_Pivot!$B$2:$AO$2,0))</f>
        <v>2999</v>
      </c>
      <c r="L345" s="3" t="str">
        <f>INDEX(Merchant_Region_Map!$D$3:$D$42,MATCH(C345,Merchant_Region_Map!$A$3:$A$42,0))</f>
        <v>North</v>
      </c>
      <c r="M345" s="11" t="str">
        <f t="shared" si="11"/>
        <v/>
      </c>
    </row>
    <row r="346" spans="1:13" x14ac:dyDescent="0.25">
      <c r="A346" t="s">
        <v>388</v>
      </c>
      <c r="B346">
        <v>323</v>
      </c>
      <c r="C346">
        <v>2</v>
      </c>
      <c r="D346" s="13" t="str">
        <f>IFERROR(VLOOKUP(C346,[1]Sheet1!$A$1:$C$41,2,0),"Merchant Not Found")</f>
        <v>Merchant_002</v>
      </c>
      <c r="E346" s="7">
        <v>46041.409722222197</v>
      </c>
      <c r="F346">
        <v>49</v>
      </c>
      <c r="G346" s="8" t="s">
        <v>44</v>
      </c>
      <c r="H346" s="8" t="s">
        <v>40</v>
      </c>
      <c r="I346">
        <v>76</v>
      </c>
      <c r="J346" s="9">
        <f t="shared" si="10"/>
        <v>46041</v>
      </c>
      <c r="K346" s="10">
        <f>INDEX(Daily_Merchant_Pivot!$B$3:$AO$32,MATCH(J346,Daily_Merchant_Pivot!$A$3:$A$32,0),MATCH(C346,Daily_Merchant_Pivot!$B$2:$AO$2,0))</f>
        <v>49</v>
      </c>
      <c r="L346" s="3" t="str">
        <f>INDEX(Merchant_Region_Map!$D$3:$D$42,MATCH(C346,Merchant_Region_Map!$A$3:$A$42,0))</f>
        <v>West</v>
      </c>
      <c r="M346" s="11" t="str">
        <f t="shared" si="11"/>
        <v/>
      </c>
    </row>
    <row r="347" spans="1:13" x14ac:dyDescent="0.25">
      <c r="A347" t="s">
        <v>389</v>
      </c>
      <c r="B347">
        <v>297</v>
      </c>
      <c r="C347">
        <v>37</v>
      </c>
      <c r="D347" s="13" t="str">
        <f>IFERROR(VLOOKUP(C347,[1]Sheet1!$A$1:$C$41,2,0),"Merchant Not Found")</f>
        <v>Merchant_037</v>
      </c>
      <c r="E347" s="7">
        <v>46038.3618055556</v>
      </c>
      <c r="F347">
        <v>2999</v>
      </c>
      <c r="G347" s="8" t="s">
        <v>42</v>
      </c>
      <c r="H347" s="8" t="s">
        <v>40</v>
      </c>
      <c r="I347">
        <v>29</v>
      </c>
      <c r="J347" s="9">
        <f t="shared" si="10"/>
        <v>46038</v>
      </c>
      <c r="K347" s="10">
        <f>INDEX(Daily_Merchant_Pivot!$B$3:$AO$32,MATCH(J347,Daily_Merchant_Pivot!$A$3:$A$32,0),MATCH(C347,Daily_Merchant_Pivot!$B$2:$AO$2,0))</f>
        <v>2999</v>
      </c>
      <c r="L347" s="3" t="str">
        <f>INDEX(Merchant_Region_Map!$D$3:$D$42,MATCH(C347,Merchant_Region_Map!$A$3:$A$42,0))</f>
        <v>South</v>
      </c>
      <c r="M347" s="11" t="str">
        <f t="shared" si="11"/>
        <v/>
      </c>
    </row>
    <row r="348" spans="1:13" x14ac:dyDescent="0.25">
      <c r="A348" t="s">
        <v>390</v>
      </c>
      <c r="B348">
        <v>246</v>
      </c>
      <c r="C348">
        <v>11</v>
      </c>
      <c r="D348" s="13" t="str">
        <f>IFERROR(VLOOKUP(C348,[1]Sheet1!$A$1:$C$41,2,0),"Merchant Not Found")</f>
        <v>Merchant_011</v>
      </c>
      <c r="E348" s="7">
        <v>46046.067361111098</v>
      </c>
      <c r="F348">
        <v>299</v>
      </c>
      <c r="G348" s="8" t="s">
        <v>39</v>
      </c>
      <c r="H348" s="8" t="s">
        <v>40</v>
      </c>
      <c r="I348">
        <v>67</v>
      </c>
      <c r="J348" s="9">
        <f t="shared" si="10"/>
        <v>46046</v>
      </c>
      <c r="K348" s="10">
        <f>INDEX(Daily_Merchant_Pivot!$B$3:$AO$32,MATCH(J348,Daily_Merchant_Pivot!$A$3:$A$32,0),MATCH(C348,Daily_Merchant_Pivot!$B$2:$AO$2,0))</f>
        <v>1798</v>
      </c>
      <c r="L348" s="3" t="str">
        <f>INDEX(Merchant_Region_Map!$D$3:$D$42,MATCH(C348,Merchant_Region_Map!$A$3:$A$42,0))</f>
        <v>North</v>
      </c>
      <c r="M348" s="11" t="str">
        <f t="shared" si="11"/>
        <v/>
      </c>
    </row>
    <row r="349" spans="1:13" x14ac:dyDescent="0.25">
      <c r="A349" t="s">
        <v>391</v>
      </c>
      <c r="B349">
        <v>195</v>
      </c>
      <c r="C349">
        <v>10</v>
      </c>
      <c r="D349" s="13" t="str">
        <f>IFERROR(VLOOKUP(C349,[1]Sheet1!$A$1:$C$41,2,0),"Merchant Not Found")</f>
        <v>Merchant_010</v>
      </c>
      <c r="E349" s="7">
        <v>46043.985416666699</v>
      </c>
      <c r="F349">
        <v>99</v>
      </c>
      <c r="G349" s="8" t="s">
        <v>39</v>
      </c>
      <c r="H349" s="8" t="s">
        <v>40</v>
      </c>
      <c r="I349">
        <v>87</v>
      </c>
      <c r="J349" s="9">
        <f t="shared" si="10"/>
        <v>46043</v>
      </c>
      <c r="K349" s="10">
        <f>INDEX(Daily_Merchant_Pivot!$B$3:$AO$32,MATCH(J349,Daily_Merchant_Pivot!$A$3:$A$32,0),MATCH(C349,Daily_Merchant_Pivot!$B$2:$AO$2,0))</f>
        <v>398</v>
      </c>
      <c r="L349" s="3" t="str">
        <f>INDEX(Merchant_Region_Map!$D$3:$D$42,MATCH(C349,Merchant_Region_Map!$A$3:$A$42,0))</f>
        <v>West</v>
      </c>
      <c r="M349" s="11" t="str">
        <f t="shared" si="11"/>
        <v/>
      </c>
    </row>
    <row r="350" spans="1:13" x14ac:dyDescent="0.25">
      <c r="A350" t="s">
        <v>392</v>
      </c>
      <c r="B350">
        <v>57</v>
      </c>
      <c r="C350">
        <v>13</v>
      </c>
      <c r="D350" s="13" t="str">
        <f>IFERROR(VLOOKUP(C350,[1]Sheet1!$A$1:$C$41,2,0),"Merchant Not Found")</f>
        <v>Merchant_013</v>
      </c>
      <c r="E350" s="7">
        <v>46030.066666666702</v>
      </c>
      <c r="F350">
        <v>149</v>
      </c>
      <c r="G350" s="8" t="s">
        <v>39</v>
      </c>
      <c r="H350" s="8" t="s">
        <v>40</v>
      </c>
      <c r="I350">
        <v>2</v>
      </c>
      <c r="J350" s="9">
        <f t="shared" si="10"/>
        <v>46030</v>
      </c>
      <c r="K350" s="10">
        <f>INDEX(Daily_Merchant_Pivot!$B$3:$AO$32,MATCH(J350,Daily_Merchant_Pivot!$A$3:$A$32,0),MATCH(C350,Daily_Merchant_Pivot!$B$2:$AO$2,0))</f>
        <v>149</v>
      </c>
      <c r="L350" s="3" t="str">
        <f>INDEX(Merchant_Region_Map!$D$3:$D$42,MATCH(C350,Merchant_Region_Map!$A$3:$A$42,0))</f>
        <v>East</v>
      </c>
      <c r="M350" s="11" t="str">
        <f t="shared" si="11"/>
        <v/>
      </c>
    </row>
    <row r="351" spans="1:13" x14ac:dyDescent="0.25">
      <c r="A351" t="s">
        <v>393</v>
      </c>
      <c r="B351">
        <v>78</v>
      </c>
      <c r="C351">
        <v>27</v>
      </c>
      <c r="D351" s="13" t="str">
        <f>IFERROR(VLOOKUP(C351,[1]Sheet1!$A$1:$C$41,2,0),"Merchant Not Found")</f>
        <v>Merchant_027</v>
      </c>
      <c r="E351" s="7">
        <v>46037.434722222199</v>
      </c>
      <c r="F351">
        <v>1499</v>
      </c>
      <c r="G351" s="8" t="s">
        <v>44</v>
      </c>
      <c r="H351" s="8" t="s">
        <v>53</v>
      </c>
      <c r="I351">
        <v>88</v>
      </c>
      <c r="J351" s="9">
        <f t="shared" si="10"/>
        <v>46037</v>
      </c>
      <c r="K351" s="10">
        <f>INDEX(Daily_Merchant_Pivot!$B$3:$AO$32,MATCH(J351,Daily_Merchant_Pivot!$A$3:$A$32,0),MATCH(C351,Daily_Merchant_Pivot!$B$2:$AO$2,0))</f>
        <v>0</v>
      </c>
      <c r="L351" s="3" t="str">
        <f>INDEX(Merchant_Region_Map!$D$3:$D$42,MATCH(C351,Merchant_Region_Map!$A$3:$A$42,0))</f>
        <v>North</v>
      </c>
      <c r="M351" s="11" t="str">
        <f t="shared" si="11"/>
        <v/>
      </c>
    </row>
    <row r="352" spans="1:13" x14ac:dyDescent="0.25">
      <c r="A352" t="s">
        <v>394</v>
      </c>
      <c r="B352">
        <v>314</v>
      </c>
      <c r="C352">
        <v>31</v>
      </c>
      <c r="D352" s="13" t="str">
        <f>IFERROR(VLOOKUP(C352,[1]Sheet1!$A$1:$C$41,2,0),"Merchant Not Found")</f>
        <v>Merchant_031</v>
      </c>
      <c r="E352" s="7">
        <v>46029.563888888901</v>
      </c>
      <c r="F352">
        <v>49</v>
      </c>
      <c r="G352" s="8" t="s">
        <v>39</v>
      </c>
      <c r="H352" s="8" t="s">
        <v>66</v>
      </c>
      <c r="I352">
        <v>94</v>
      </c>
      <c r="J352" s="9">
        <f t="shared" si="10"/>
        <v>46029</v>
      </c>
      <c r="K352" s="10">
        <f>INDEX(Daily_Merchant_Pivot!$B$3:$AO$32,MATCH(J352,Daily_Merchant_Pivot!$A$3:$A$32,0),MATCH(C352,Daily_Merchant_Pivot!$B$2:$AO$2,0))</f>
        <v>0</v>
      </c>
      <c r="L352" s="3" t="str">
        <f>INDEX(Merchant_Region_Map!$D$3:$D$42,MATCH(C352,Merchant_Region_Map!$A$3:$A$42,0))</f>
        <v>East</v>
      </c>
      <c r="M352" s="11" t="str">
        <f t="shared" si="11"/>
        <v/>
      </c>
    </row>
    <row r="353" spans="1:13" x14ac:dyDescent="0.25">
      <c r="A353" t="s">
        <v>395</v>
      </c>
      <c r="B353">
        <v>71</v>
      </c>
      <c r="C353">
        <v>34</v>
      </c>
      <c r="D353" s="13" t="str">
        <f>IFERROR(VLOOKUP(C353,[1]Sheet1!$A$1:$C$41,2,0),"Merchant Not Found")</f>
        <v>Merchant_034</v>
      </c>
      <c r="E353" s="7">
        <v>46046.072916666701</v>
      </c>
      <c r="F353">
        <v>499</v>
      </c>
      <c r="G353" s="8" t="s">
        <v>39</v>
      </c>
      <c r="H353" s="8" t="s">
        <v>40</v>
      </c>
      <c r="I353">
        <v>26</v>
      </c>
      <c r="J353" s="9">
        <f t="shared" si="10"/>
        <v>46046</v>
      </c>
      <c r="K353" s="10">
        <f>INDEX(Daily_Merchant_Pivot!$B$3:$AO$32,MATCH(J353,Daily_Merchant_Pivot!$A$3:$A$32,0),MATCH(C353,Daily_Merchant_Pivot!$B$2:$AO$2,0))</f>
        <v>548</v>
      </c>
      <c r="L353" s="3" t="str">
        <f>INDEX(Merchant_Region_Map!$D$3:$D$42,MATCH(C353,Merchant_Region_Map!$A$3:$A$42,0))</f>
        <v>South</v>
      </c>
      <c r="M353" s="11" t="str">
        <f t="shared" si="11"/>
        <v/>
      </c>
    </row>
    <row r="354" spans="1:13" x14ac:dyDescent="0.25">
      <c r="A354" t="s">
        <v>396</v>
      </c>
      <c r="B354">
        <v>245</v>
      </c>
      <c r="C354">
        <v>34</v>
      </c>
      <c r="D354" s="13" t="str">
        <f>IFERROR(VLOOKUP(C354,[1]Sheet1!$A$1:$C$41,2,0),"Merchant Not Found")</f>
        <v>Merchant_034</v>
      </c>
      <c r="E354" s="7">
        <v>46040.445833333302</v>
      </c>
      <c r="F354">
        <v>99</v>
      </c>
      <c r="G354" s="8" t="s">
        <v>39</v>
      </c>
      <c r="H354" s="8" t="s">
        <v>40</v>
      </c>
      <c r="I354">
        <v>48</v>
      </c>
      <c r="J354" s="9">
        <f t="shared" si="10"/>
        <v>46040</v>
      </c>
      <c r="K354" s="10">
        <f>INDEX(Daily_Merchant_Pivot!$B$3:$AO$32,MATCH(J354,Daily_Merchant_Pivot!$A$3:$A$32,0),MATCH(C354,Daily_Merchant_Pivot!$B$2:$AO$2,0))</f>
        <v>148</v>
      </c>
      <c r="L354" s="3" t="str">
        <f>INDEX(Merchant_Region_Map!$D$3:$D$42,MATCH(C354,Merchant_Region_Map!$A$3:$A$42,0))</f>
        <v>South</v>
      </c>
      <c r="M354" s="11" t="str">
        <f t="shared" si="11"/>
        <v/>
      </c>
    </row>
    <row r="355" spans="1:13" x14ac:dyDescent="0.25">
      <c r="A355" t="s">
        <v>397</v>
      </c>
      <c r="B355">
        <v>273</v>
      </c>
      <c r="C355">
        <v>22</v>
      </c>
      <c r="D355" s="13" t="str">
        <f>IFERROR(VLOOKUP(C355,[1]Sheet1!$A$1:$C$41,2,0),"Merchant Not Found")</f>
        <v>Merchant_022</v>
      </c>
      <c r="E355" s="7">
        <v>46033.228472222203</v>
      </c>
      <c r="F355">
        <v>299</v>
      </c>
      <c r="G355" s="8" t="s">
        <v>42</v>
      </c>
      <c r="H355" s="8" t="s">
        <v>40</v>
      </c>
      <c r="I355">
        <v>69</v>
      </c>
      <c r="J355" s="9">
        <f t="shared" si="10"/>
        <v>46033</v>
      </c>
      <c r="K355" s="10">
        <f>INDEX(Daily_Merchant_Pivot!$B$3:$AO$32,MATCH(J355,Daily_Merchant_Pivot!$A$3:$A$32,0),MATCH(C355,Daily_Merchant_Pivot!$B$2:$AO$2,0))</f>
        <v>299</v>
      </c>
      <c r="L355" s="3" t="str">
        <f>INDEX(Merchant_Region_Map!$D$3:$D$42,MATCH(C355,Merchant_Region_Map!$A$3:$A$42,0))</f>
        <v>South</v>
      </c>
      <c r="M355" s="11" t="str">
        <f t="shared" si="11"/>
        <v/>
      </c>
    </row>
    <row r="356" spans="1:13" x14ac:dyDescent="0.25">
      <c r="A356" t="s">
        <v>398</v>
      </c>
      <c r="B356">
        <v>349</v>
      </c>
      <c r="C356">
        <v>17</v>
      </c>
      <c r="D356" s="13" t="str">
        <f>IFERROR(VLOOKUP(C356,[1]Sheet1!$A$1:$C$41,2,0),"Merchant Not Found")</f>
        <v>Merchant_017</v>
      </c>
      <c r="E356" s="7">
        <v>46034.909027777801</v>
      </c>
      <c r="F356">
        <v>1499</v>
      </c>
      <c r="G356" s="8" t="s">
        <v>39</v>
      </c>
      <c r="H356" s="8" t="s">
        <v>40</v>
      </c>
      <c r="I356">
        <v>78</v>
      </c>
      <c r="J356" s="9">
        <f t="shared" si="10"/>
        <v>46034</v>
      </c>
      <c r="K356" s="10">
        <f>INDEX(Daily_Merchant_Pivot!$B$3:$AO$32,MATCH(J356,Daily_Merchant_Pivot!$A$3:$A$32,0),MATCH(C356,Daily_Merchant_Pivot!$B$2:$AO$2,0))</f>
        <v>1499</v>
      </c>
      <c r="L356" s="3" t="str">
        <f>INDEX(Merchant_Region_Map!$D$3:$D$42,MATCH(C356,Merchant_Region_Map!$A$3:$A$42,0))</f>
        <v>North</v>
      </c>
      <c r="M356" s="11" t="str">
        <f t="shared" si="11"/>
        <v/>
      </c>
    </row>
    <row r="357" spans="1:13" x14ac:dyDescent="0.25">
      <c r="A357" t="s">
        <v>399</v>
      </c>
      <c r="B357">
        <v>143</v>
      </c>
      <c r="C357">
        <v>36</v>
      </c>
      <c r="D357" s="13" t="str">
        <f>IFERROR(VLOOKUP(C357,[1]Sheet1!$A$1:$C$41,2,0),"Merchant Not Found")</f>
        <v>Merchant_036</v>
      </c>
      <c r="E357" s="7">
        <v>46038.260416666701</v>
      </c>
      <c r="F357">
        <v>1499</v>
      </c>
      <c r="G357" s="8" t="s">
        <v>44</v>
      </c>
      <c r="H357" s="8" t="s">
        <v>40</v>
      </c>
      <c r="I357">
        <v>38</v>
      </c>
      <c r="J357" s="9">
        <f t="shared" si="10"/>
        <v>46038</v>
      </c>
      <c r="K357" s="10">
        <f>INDEX(Daily_Merchant_Pivot!$B$3:$AO$32,MATCH(J357,Daily_Merchant_Pivot!$A$3:$A$32,0),MATCH(C357,Daily_Merchant_Pivot!$B$2:$AO$2,0))</f>
        <v>1499</v>
      </c>
      <c r="L357" s="3" t="str">
        <f>INDEX(Merchant_Region_Map!$D$3:$D$42,MATCH(C357,Merchant_Region_Map!$A$3:$A$42,0))</f>
        <v>East</v>
      </c>
      <c r="M357" s="11" t="str">
        <f t="shared" si="11"/>
        <v/>
      </c>
    </row>
    <row r="358" spans="1:13" x14ac:dyDescent="0.25">
      <c r="A358" t="s">
        <v>400</v>
      </c>
      <c r="B358">
        <v>148</v>
      </c>
      <c r="C358">
        <v>14</v>
      </c>
      <c r="D358" s="13" t="str">
        <f>IFERROR(VLOOKUP(C358,[1]Sheet1!$A$1:$C$41,2,0),"Merchant Not Found")</f>
        <v>Merchant_014</v>
      </c>
      <c r="E358" s="7">
        <v>46030.409027777801</v>
      </c>
      <c r="F358">
        <v>799</v>
      </c>
      <c r="G358" s="8" t="s">
        <v>42</v>
      </c>
      <c r="H358" s="8" t="s">
        <v>40</v>
      </c>
      <c r="I358">
        <v>88</v>
      </c>
      <c r="J358" s="9">
        <f t="shared" si="10"/>
        <v>46030</v>
      </c>
      <c r="K358" s="10">
        <f>INDEX(Daily_Merchant_Pivot!$B$3:$AO$32,MATCH(J358,Daily_Merchant_Pivot!$A$3:$A$32,0),MATCH(C358,Daily_Merchant_Pivot!$B$2:$AO$2,0))</f>
        <v>799</v>
      </c>
      <c r="L358" s="3" t="str">
        <f>INDEX(Merchant_Region_Map!$D$3:$D$42,MATCH(C358,Merchant_Region_Map!$A$3:$A$42,0))</f>
        <v>East</v>
      </c>
      <c r="M358" s="11" t="str">
        <f t="shared" si="11"/>
        <v/>
      </c>
    </row>
    <row r="359" spans="1:13" x14ac:dyDescent="0.25">
      <c r="A359" t="s">
        <v>401</v>
      </c>
      <c r="B359">
        <v>246</v>
      </c>
      <c r="C359">
        <v>23</v>
      </c>
      <c r="D359" s="13" t="str">
        <f>IFERROR(VLOOKUP(C359,[1]Sheet1!$A$1:$C$41,2,0),"Merchant Not Found")</f>
        <v>Merchant_023</v>
      </c>
      <c r="E359" s="7">
        <v>46045.638888888898</v>
      </c>
      <c r="F359">
        <v>49</v>
      </c>
      <c r="G359" s="8" t="s">
        <v>39</v>
      </c>
      <c r="H359" s="8" t="s">
        <v>40</v>
      </c>
      <c r="I359">
        <v>71</v>
      </c>
      <c r="J359" s="9">
        <f t="shared" si="10"/>
        <v>46045</v>
      </c>
      <c r="K359" s="10">
        <f>INDEX(Daily_Merchant_Pivot!$B$3:$AO$32,MATCH(J359,Daily_Merchant_Pivot!$A$3:$A$32,0),MATCH(C359,Daily_Merchant_Pivot!$B$2:$AO$2,0))</f>
        <v>247</v>
      </c>
      <c r="L359" s="3" t="str">
        <f>INDEX(Merchant_Region_Map!$D$3:$D$42,MATCH(C359,Merchant_Region_Map!$A$3:$A$42,0))</f>
        <v>North</v>
      </c>
      <c r="M359" s="11" t="str">
        <f t="shared" si="11"/>
        <v/>
      </c>
    </row>
    <row r="360" spans="1:13" x14ac:dyDescent="0.25">
      <c r="A360" t="s">
        <v>402</v>
      </c>
      <c r="B360">
        <v>148</v>
      </c>
      <c r="C360">
        <v>8</v>
      </c>
      <c r="D360" s="13" t="str">
        <f>IFERROR(VLOOKUP(C360,[1]Sheet1!$A$1:$C$41,2,0),"Merchant Not Found")</f>
        <v>Merchant_008</v>
      </c>
      <c r="E360" s="7">
        <v>46052.970138888901</v>
      </c>
      <c r="F360">
        <v>99</v>
      </c>
      <c r="G360" s="8" t="s">
        <v>42</v>
      </c>
      <c r="H360" s="8" t="s">
        <v>40</v>
      </c>
      <c r="I360">
        <v>73</v>
      </c>
      <c r="J360" s="9">
        <f t="shared" si="10"/>
        <v>46052</v>
      </c>
      <c r="K360" s="10">
        <f>INDEX(Daily_Merchant_Pivot!$B$3:$AO$32,MATCH(J360,Daily_Merchant_Pivot!$A$3:$A$32,0),MATCH(C360,Daily_Merchant_Pivot!$B$2:$AO$2,0))</f>
        <v>99</v>
      </c>
      <c r="L360" s="3" t="str">
        <f>INDEX(Merchant_Region_Map!$D$3:$D$42,MATCH(C360,Merchant_Region_Map!$A$3:$A$42,0))</f>
        <v>North</v>
      </c>
      <c r="M360" s="11" t="str">
        <f t="shared" si="11"/>
        <v/>
      </c>
    </row>
    <row r="361" spans="1:13" x14ac:dyDescent="0.25">
      <c r="A361" t="s">
        <v>403</v>
      </c>
      <c r="B361">
        <v>203</v>
      </c>
      <c r="C361">
        <v>23</v>
      </c>
      <c r="D361" s="13" t="str">
        <f>IFERROR(VLOOKUP(C361,[1]Sheet1!$A$1:$C$41,2,0),"Merchant Not Found")</f>
        <v>Merchant_023</v>
      </c>
      <c r="E361" s="7">
        <v>46044.724999999999</v>
      </c>
      <c r="F361">
        <v>49</v>
      </c>
      <c r="G361" s="8" t="s">
        <v>39</v>
      </c>
      <c r="H361" s="8" t="s">
        <v>40</v>
      </c>
      <c r="I361">
        <v>98</v>
      </c>
      <c r="J361" s="9">
        <f t="shared" si="10"/>
        <v>46044</v>
      </c>
      <c r="K361" s="10">
        <f>INDEX(Daily_Merchant_Pivot!$B$3:$AO$32,MATCH(J361,Daily_Merchant_Pivot!$A$3:$A$32,0),MATCH(C361,Daily_Merchant_Pivot!$B$2:$AO$2,0))</f>
        <v>49</v>
      </c>
      <c r="L361" s="3" t="str">
        <f>INDEX(Merchant_Region_Map!$D$3:$D$42,MATCH(C361,Merchant_Region_Map!$A$3:$A$42,0))</f>
        <v>North</v>
      </c>
      <c r="M361" s="11" t="str">
        <f t="shared" si="11"/>
        <v/>
      </c>
    </row>
    <row r="362" spans="1:13" x14ac:dyDescent="0.25">
      <c r="A362" t="s">
        <v>404</v>
      </c>
      <c r="B362">
        <v>22</v>
      </c>
      <c r="C362">
        <v>19</v>
      </c>
      <c r="D362" s="13" t="str">
        <f>IFERROR(VLOOKUP(C362,[1]Sheet1!$A$1:$C$41,2,0),"Merchant Not Found")</f>
        <v>Merchant_019</v>
      </c>
      <c r="E362" s="7">
        <v>46048.179166666698</v>
      </c>
      <c r="F362">
        <v>49</v>
      </c>
      <c r="G362" s="8" t="s">
        <v>52</v>
      </c>
      <c r="H362" s="8" t="s">
        <v>40</v>
      </c>
      <c r="I362">
        <v>91</v>
      </c>
      <c r="J362" s="9">
        <f t="shared" si="10"/>
        <v>46048</v>
      </c>
      <c r="K362" s="10">
        <f>INDEX(Daily_Merchant_Pivot!$B$3:$AO$32,MATCH(J362,Daily_Merchant_Pivot!$A$3:$A$32,0),MATCH(C362,Daily_Merchant_Pivot!$B$2:$AO$2,0))</f>
        <v>49</v>
      </c>
      <c r="L362" s="3" t="str">
        <f>INDEX(Merchant_Region_Map!$D$3:$D$42,MATCH(C362,Merchant_Region_Map!$A$3:$A$42,0))</f>
        <v>North</v>
      </c>
      <c r="M362" s="11" t="str">
        <f t="shared" si="11"/>
        <v/>
      </c>
    </row>
    <row r="363" spans="1:13" x14ac:dyDescent="0.25">
      <c r="A363" t="s">
        <v>405</v>
      </c>
      <c r="B363">
        <v>276</v>
      </c>
      <c r="C363">
        <v>18</v>
      </c>
      <c r="D363" s="13" t="str">
        <f>IFERROR(VLOOKUP(C363,[1]Sheet1!$A$1:$C$41,2,0),"Merchant Not Found")</f>
        <v>Merchant_018</v>
      </c>
      <c r="E363" s="7">
        <v>46038.258333333302</v>
      </c>
      <c r="F363">
        <v>249</v>
      </c>
      <c r="G363" s="8" t="s">
        <v>42</v>
      </c>
      <c r="H363" s="8" t="s">
        <v>40</v>
      </c>
      <c r="I363">
        <v>71</v>
      </c>
      <c r="J363" s="9">
        <f t="shared" si="10"/>
        <v>46038</v>
      </c>
      <c r="K363" s="10">
        <f>INDEX(Daily_Merchant_Pivot!$B$3:$AO$32,MATCH(J363,Daily_Merchant_Pivot!$A$3:$A$32,0),MATCH(C363,Daily_Merchant_Pivot!$B$2:$AO$2,0))</f>
        <v>3248</v>
      </c>
      <c r="L363" s="3" t="str">
        <f>INDEX(Merchant_Region_Map!$D$3:$D$42,MATCH(C363,Merchant_Region_Map!$A$3:$A$42,0))</f>
        <v>West</v>
      </c>
      <c r="M363" s="11" t="str">
        <f t="shared" si="11"/>
        <v/>
      </c>
    </row>
    <row r="364" spans="1:13" x14ac:dyDescent="0.25">
      <c r="A364" t="s">
        <v>406</v>
      </c>
      <c r="B364">
        <v>56</v>
      </c>
      <c r="C364">
        <v>40</v>
      </c>
      <c r="D364" s="13" t="str">
        <f>IFERROR(VLOOKUP(C364,[1]Sheet1!$A$1:$C$41,2,0),"Merchant Not Found")</f>
        <v>Merchant_040</v>
      </c>
      <c r="E364" s="7">
        <v>46045.338888888902</v>
      </c>
      <c r="F364">
        <v>99</v>
      </c>
      <c r="G364" s="8" t="s">
        <v>52</v>
      </c>
      <c r="H364" s="8" t="s">
        <v>40</v>
      </c>
      <c r="I364">
        <v>94</v>
      </c>
      <c r="J364" s="9">
        <f t="shared" si="10"/>
        <v>46045</v>
      </c>
      <c r="K364" s="10">
        <f>INDEX(Daily_Merchant_Pivot!$B$3:$AO$32,MATCH(J364,Daily_Merchant_Pivot!$A$3:$A$32,0),MATCH(C364,Daily_Merchant_Pivot!$B$2:$AO$2,0))</f>
        <v>99</v>
      </c>
      <c r="L364" s="3" t="str">
        <f>INDEX(Merchant_Region_Map!$D$3:$D$42,MATCH(C364,Merchant_Region_Map!$A$3:$A$42,0))</f>
        <v>South</v>
      </c>
      <c r="M364" s="11" t="str">
        <f t="shared" si="11"/>
        <v/>
      </c>
    </row>
    <row r="365" spans="1:13" x14ac:dyDescent="0.25">
      <c r="A365" t="s">
        <v>407</v>
      </c>
      <c r="B365">
        <v>26</v>
      </c>
      <c r="C365">
        <v>34</v>
      </c>
      <c r="D365" s="13" t="str">
        <f>IFERROR(VLOOKUP(C365,[1]Sheet1!$A$1:$C$41,2,0),"Merchant Not Found")</f>
        <v>Merchant_034</v>
      </c>
      <c r="E365" s="7">
        <v>46041.302083333299</v>
      </c>
      <c r="F365">
        <v>499</v>
      </c>
      <c r="G365" s="8" t="s">
        <v>52</v>
      </c>
      <c r="H365" s="8" t="s">
        <v>40</v>
      </c>
      <c r="I365">
        <v>28</v>
      </c>
      <c r="J365" s="9">
        <f t="shared" si="10"/>
        <v>46041</v>
      </c>
      <c r="K365" s="10">
        <f>INDEX(Daily_Merchant_Pivot!$B$3:$AO$32,MATCH(J365,Daily_Merchant_Pivot!$A$3:$A$32,0),MATCH(C365,Daily_Merchant_Pivot!$B$2:$AO$2,0))</f>
        <v>499</v>
      </c>
      <c r="L365" s="3" t="str">
        <f>INDEX(Merchant_Region_Map!$D$3:$D$42,MATCH(C365,Merchant_Region_Map!$A$3:$A$42,0))</f>
        <v>South</v>
      </c>
      <c r="M365" s="11" t="str">
        <f t="shared" si="11"/>
        <v/>
      </c>
    </row>
    <row r="366" spans="1:13" x14ac:dyDescent="0.25">
      <c r="A366" t="s">
        <v>408</v>
      </c>
      <c r="B366">
        <v>52</v>
      </c>
      <c r="C366">
        <v>27</v>
      </c>
      <c r="D366" s="13" t="str">
        <f>IFERROR(VLOOKUP(C366,[1]Sheet1!$A$1:$C$41,2,0),"Merchant Not Found")</f>
        <v>Merchant_027</v>
      </c>
      <c r="E366" s="7">
        <v>46043.293749999997</v>
      </c>
      <c r="F366">
        <v>549</v>
      </c>
      <c r="G366" s="8" t="s">
        <v>52</v>
      </c>
      <c r="H366" s="8" t="s">
        <v>40</v>
      </c>
      <c r="I366">
        <v>42</v>
      </c>
      <c r="J366" s="9">
        <f t="shared" si="10"/>
        <v>46043</v>
      </c>
      <c r="K366" s="10">
        <f>INDEX(Daily_Merchant_Pivot!$B$3:$AO$32,MATCH(J366,Daily_Merchant_Pivot!$A$3:$A$32,0),MATCH(C366,Daily_Merchant_Pivot!$B$2:$AO$2,0))</f>
        <v>549</v>
      </c>
      <c r="L366" s="3" t="str">
        <f>INDEX(Merchant_Region_Map!$D$3:$D$42,MATCH(C366,Merchant_Region_Map!$A$3:$A$42,0))</f>
        <v>North</v>
      </c>
      <c r="M366" s="11" t="str">
        <f t="shared" si="11"/>
        <v/>
      </c>
    </row>
    <row r="367" spans="1:13" x14ac:dyDescent="0.25">
      <c r="A367" t="s">
        <v>409</v>
      </c>
      <c r="B367">
        <v>349</v>
      </c>
      <c r="C367">
        <v>9</v>
      </c>
      <c r="D367" s="13" t="str">
        <f>IFERROR(VLOOKUP(C367,[1]Sheet1!$A$1:$C$41,2,0),"Merchant Not Found")</f>
        <v>Merchant_009</v>
      </c>
      <c r="E367" s="7">
        <v>46045.629166666702</v>
      </c>
      <c r="F367">
        <v>499</v>
      </c>
      <c r="G367" s="8" t="s">
        <v>42</v>
      </c>
      <c r="H367" s="8" t="s">
        <v>40</v>
      </c>
      <c r="I367">
        <v>0</v>
      </c>
      <c r="J367" s="9">
        <f t="shared" si="10"/>
        <v>46045</v>
      </c>
      <c r="K367" s="10">
        <f>INDEX(Daily_Merchant_Pivot!$B$3:$AO$32,MATCH(J367,Daily_Merchant_Pivot!$A$3:$A$32,0),MATCH(C367,Daily_Merchant_Pivot!$B$2:$AO$2,0))</f>
        <v>499</v>
      </c>
      <c r="L367" s="3" t="str">
        <f>INDEX(Merchant_Region_Map!$D$3:$D$42,MATCH(C367,Merchant_Region_Map!$A$3:$A$42,0))</f>
        <v>North</v>
      </c>
      <c r="M367" s="11" t="str">
        <f t="shared" si="11"/>
        <v/>
      </c>
    </row>
    <row r="368" spans="1:13" x14ac:dyDescent="0.25">
      <c r="A368" t="s">
        <v>410</v>
      </c>
      <c r="B368">
        <v>335</v>
      </c>
      <c r="C368">
        <v>31</v>
      </c>
      <c r="D368" s="13" t="str">
        <f>IFERROR(VLOOKUP(C368,[1]Sheet1!$A$1:$C$41,2,0),"Merchant Not Found")</f>
        <v>Merchant_031</v>
      </c>
      <c r="E368" s="7">
        <v>46040.226388888899</v>
      </c>
      <c r="F368">
        <v>49</v>
      </c>
      <c r="G368" s="8" t="s">
        <v>52</v>
      </c>
      <c r="H368" s="8" t="s">
        <v>40</v>
      </c>
      <c r="I368">
        <v>61</v>
      </c>
      <c r="J368" s="9">
        <f t="shared" si="10"/>
        <v>46040</v>
      </c>
      <c r="K368" s="10">
        <f>INDEX(Daily_Merchant_Pivot!$B$3:$AO$32,MATCH(J368,Daily_Merchant_Pivot!$A$3:$A$32,0),MATCH(C368,Daily_Merchant_Pivot!$B$2:$AO$2,0))</f>
        <v>49</v>
      </c>
      <c r="L368" s="3" t="str">
        <f>INDEX(Merchant_Region_Map!$D$3:$D$42,MATCH(C368,Merchant_Region_Map!$A$3:$A$42,0))</f>
        <v>East</v>
      </c>
      <c r="M368" s="11" t="str">
        <f t="shared" si="11"/>
        <v/>
      </c>
    </row>
    <row r="369" spans="1:13" x14ac:dyDescent="0.25">
      <c r="A369" t="s">
        <v>411</v>
      </c>
      <c r="B369">
        <v>148</v>
      </c>
      <c r="C369">
        <v>21</v>
      </c>
      <c r="D369" s="13" t="str">
        <f>IFERROR(VLOOKUP(C369,[1]Sheet1!$A$1:$C$41,2,0),"Merchant Not Found")</f>
        <v>Merchant_021</v>
      </c>
      <c r="E369" s="7">
        <v>46043.283333333296</v>
      </c>
      <c r="F369">
        <v>49</v>
      </c>
      <c r="G369" s="8" t="s">
        <v>52</v>
      </c>
      <c r="H369" s="8" t="s">
        <v>40</v>
      </c>
      <c r="I369">
        <v>36</v>
      </c>
      <c r="J369" s="9">
        <f t="shared" si="10"/>
        <v>46043</v>
      </c>
      <c r="K369" s="10">
        <f>INDEX(Daily_Merchant_Pivot!$B$3:$AO$32,MATCH(J369,Daily_Merchant_Pivot!$A$3:$A$32,0),MATCH(C369,Daily_Merchant_Pivot!$B$2:$AO$2,0))</f>
        <v>49</v>
      </c>
      <c r="L369" s="3" t="str">
        <f>INDEX(Merchant_Region_Map!$D$3:$D$42,MATCH(C369,Merchant_Region_Map!$A$3:$A$42,0))</f>
        <v>East</v>
      </c>
      <c r="M369" s="11" t="str">
        <f t="shared" si="11"/>
        <v/>
      </c>
    </row>
    <row r="370" spans="1:13" x14ac:dyDescent="0.25">
      <c r="A370" t="s">
        <v>412</v>
      </c>
      <c r="B370">
        <v>46</v>
      </c>
      <c r="C370">
        <v>37</v>
      </c>
      <c r="D370" s="13" t="str">
        <f>IFERROR(VLOOKUP(C370,[1]Sheet1!$A$1:$C$41,2,0),"Merchant Not Found")</f>
        <v>Merchant_037</v>
      </c>
      <c r="E370" s="7">
        <v>46043.081944444399</v>
      </c>
      <c r="F370">
        <v>99</v>
      </c>
      <c r="G370" s="8" t="s">
        <v>42</v>
      </c>
      <c r="H370" s="8" t="s">
        <v>40</v>
      </c>
      <c r="I370">
        <v>29</v>
      </c>
      <c r="J370" s="9">
        <f t="shared" si="10"/>
        <v>46043</v>
      </c>
      <c r="K370" s="10">
        <f>INDEX(Daily_Merchant_Pivot!$B$3:$AO$32,MATCH(J370,Daily_Merchant_Pivot!$A$3:$A$32,0),MATCH(C370,Daily_Merchant_Pivot!$B$2:$AO$2,0))</f>
        <v>99</v>
      </c>
      <c r="L370" s="3" t="str">
        <f>INDEX(Merchant_Region_Map!$D$3:$D$42,MATCH(C370,Merchant_Region_Map!$A$3:$A$42,0))</f>
        <v>South</v>
      </c>
      <c r="M370" s="11" t="str">
        <f t="shared" si="11"/>
        <v/>
      </c>
    </row>
    <row r="371" spans="1:13" x14ac:dyDescent="0.25">
      <c r="A371" t="s">
        <v>413</v>
      </c>
      <c r="B371">
        <v>20</v>
      </c>
      <c r="C371">
        <v>12</v>
      </c>
      <c r="D371" s="13" t="str">
        <f>IFERROR(VLOOKUP(C371,[1]Sheet1!$A$1:$C$41,2,0),"Merchant Not Found")</f>
        <v>Merchant_012</v>
      </c>
      <c r="E371" s="7">
        <v>46040.990277777797</v>
      </c>
      <c r="F371">
        <v>799</v>
      </c>
      <c r="G371" s="8" t="s">
        <v>52</v>
      </c>
      <c r="H371" s="8" t="s">
        <v>40</v>
      </c>
      <c r="I371">
        <v>53</v>
      </c>
      <c r="J371" s="9">
        <f t="shared" si="10"/>
        <v>46040</v>
      </c>
      <c r="K371" s="10">
        <f>INDEX(Daily_Merchant_Pivot!$B$3:$AO$32,MATCH(J371,Daily_Merchant_Pivot!$A$3:$A$32,0),MATCH(C371,Daily_Merchant_Pivot!$B$2:$AO$2,0))</f>
        <v>799</v>
      </c>
      <c r="L371" s="3" t="str">
        <f>INDEX(Merchant_Region_Map!$D$3:$D$42,MATCH(C371,Merchant_Region_Map!$A$3:$A$42,0))</f>
        <v>East</v>
      </c>
      <c r="M371" s="11" t="str">
        <f t="shared" si="11"/>
        <v/>
      </c>
    </row>
    <row r="372" spans="1:13" x14ac:dyDescent="0.25">
      <c r="A372" t="s">
        <v>414</v>
      </c>
      <c r="B372">
        <v>19</v>
      </c>
      <c r="C372">
        <v>26</v>
      </c>
      <c r="D372" s="13" t="str">
        <f>IFERROR(VLOOKUP(C372,[1]Sheet1!$A$1:$C$41,2,0),"Merchant Not Found")</f>
        <v>Merchant_026</v>
      </c>
      <c r="E372" s="7">
        <v>46051.249305555597</v>
      </c>
      <c r="F372">
        <v>49</v>
      </c>
      <c r="G372" s="8" t="s">
        <v>39</v>
      </c>
      <c r="H372" s="8" t="s">
        <v>40</v>
      </c>
      <c r="I372">
        <v>100</v>
      </c>
      <c r="J372" s="9">
        <f t="shared" si="10"/>
        <v>46051</v>
      </c>
      <c r="K372" s="10">
        <f>INDEX(Daily_Merchant_Pivot!$B$3:$AO$32,MATCH(J372,Daily_Merchant_Pivot!$A$3:$A$32,0),MATCH(C372,Daily_Merchant_Pivot!$B$2:$AO$2,0))</f>
        <v>148</v>
      </c>
      <c r="L372" s="3" t="str">
        <f>INDEX(Merchant_Region_Map!$D$3:$D$42,MATCH(C372,Merchant_Region_Map!$A$3:$A$42,0))</f>
        <v>East</v>
      </c>
      <c r="M372" s="11" t="str">
        <f t="shared" si="11"/>
        <v/>
      </c>
    </row>
    <row r="373" spans="1:13" x14ac:dyDescent="0.25">
      <c r="A373" t="s">
        <v>415</v>
      </c>
      <c r="B373">
        <v>55</v>
      </c>
      <c r="C373">
        <v>22</v>
      </c>
      <c r="D373" s="13" t="str">
        <f>IFERROR(VLOOKUP(C373,[1]Sheet1!$A$1:$C$41,2,0),"Merchant Not Found")</f>
        <v>Merchant_022</v>
      </c>
      <c r="E373" s="7">
        <v>46032.776388888902</v>
      </c>
      <c r="F373">
        <v>499</v>
      </c>
      <c r="G373" s="8" t="s">
        <v>39</v>
      </c>
      <c r="H373" s="8" t="s">
        <v>40</v>
      </c>
      <c r="I373">
        <v>36</v>
      </c>
      <c r="J373" s="9">
        <f t="shared" si="10"/>
        <v>46032</v>
      </c>
      <c r="K373" s="10">
        <f>INDEX(Daily_Merchant_Pivot!$B$3:$AO$32,MATCH(J373,Daily_Merchant_Pivot!$A$3:$A$32,0),MATCH(C373,Daily_Merchant_Pivot!$B$2:$AO$2,0))</f>
        <v>499</v>
      </c>
      <c r="L373" s="3" t="str">
        <f>INDEX(Merchant_Region_Map!$D$3:$D$42,MATCH(C373,Merchant_Region_Map!$A$3:$A$42,0))</f>
        <v>South</v>
      </c>
      <c r="M373" s="11" t="str">
        <f t="shared" si="11"/>
        <v/>
      </c>
    </row>
    <row r="374" spans="1:13" x14ac:dyDescent="0.25">
      <c r="A374" t="s">
        <v>416</v>
      </c>
      <c r="B374">
        <v>269</v>
      </c>
      <c r="C374">
        <v>32</v>
      </c>
      <c r="D374" s="13" t="str">
        <f>IFERROR(VLOOKUP(C374,[1]Sheet1!$A$1:$C$41,2,0),"Merchant Not Found")</f>
        <v>Merchant_032</v>
      </c>
      <c r="E374" s="7">
        <v>46037.8569444444</v>
      </c>
      <c r="F374">
        <v>49</v>
      </c>
      <c r="G374" s="8" t="s">
        <v>52</v>
      </c>
      <c r="H374" s="8" t="s">
        <v>53</v>
      </c>
      <c r="I374">
        <v>17</v>
      </c>
      <c r="J374" s="9">
        <f t="shared" si="10"/>
        <v>46037</v>
      </c>
      <c r="K374" s="10">
        <f>INDEX(Daily_Merchant_Pivot!$B$3:$AO$32,MATCH(J374,Daily_Merchant_Pivot!$A$3:$A$32,0),MATCH(C374,Daily_Merchant_Pivot!$B$2:$AO$2,0))</f>
        <v>99</v>
      </c>
      <c r="L374" s="3" t="str">
        <f>INDEX(Merchant_Region_Map!$D$3:$D$42,MATCH(C374,Merchant_Region_Map!$A$3:$A$42,0))</f>
        <v>West</v>
      </c>
      <c r="M374" s="11" t="str">
        <f t="shared" si="11"/>
        <v/>
      </c>
    </row>
    <row r="375" spans="1:13" x14ac:dyDescent="0.25">
      <c r="A375" t="s">
        <v>417</v>
      </c>
      <c r="B375">
        <v>140</v>
      </c>
      <c r="C375">
        <v>13</v>
      </c>
      <c r="D375" s="13" t="str">
        <f>IFERROR(VLOOKUP(C375,[1]Sheet1!$A$1:$C$41,2,0),"Merchant Not Found")</f>
        <v>Merchant_013</v>
      </c>
      <c r="E375" s="7">
        <v>46050.686805555597</v>
      </c>
      <c r="F375">
        <v>3099</v>
      </c>
      <c r="G375" s="8" t="s">
        <v>39</v>
      </c>
      <c r="H375" s="8" t="s">
        <v>40</v>
      </c>
      <c r="I375">
        <v>14</v>
      </c>
      <c r="J375" s="9">
        <f t="shared" si="10"/>
        <v>46050</v>
      </c>
      <c r="K375" s="10">
        <f>INDEX(Daily_Merchant_Pivot!$B$3:$AO$32,MATCH(J375,Daily_Merchant_Pivot!$A$3:$A$32,0),MATCH(C375,Daily_Merchant_Pivot!$B$2:$AO$2,0))</f>
        <v>3099</v>
      </c>
      <c r="L375" s="3" t="str">
        <f>INDEX(Merchant_Region_Map!$D$3:$D$42,MATCH(C375,Merchant_Region_Map!$A$3:$A$42,0))</f>
        <v>East</v>
      </c>
      <c r="M375" s="11" t="str">
        <f t="shared" si="11"/>
        <v/>
      </c>
    </row>
    <row r="376" spans="1:13" x14ac:dyDescent="0.25">
      <c r="A376" t="s">
        <v>418</v>
      </c>
      <c r="B376">
        <v>235</v>
      </c>
      <c r="C376">
        <v>17</v>
      </c>
      <c r="D376" s="13" t="str">
        <f>IFERROR(VLOOKUP(C376,[1]Sheet1!$A$1:$C$41,2,0),"Merchant Not Found")</f>
        <v>Merchant_017</v>
      </c>
      <c r="E376" s="7">
        <v>46033.240277777797</v>
      </c>
      <c r="F376">
        <v>2999</v>
      </c>
      <c r="G376" s="8" t="s">
        <v>39</v>
      </c>
      <c r="H376" s="8" t="s">
        <v>40</v>
      </c>
      <c r="I376">
        <v>91</v>
      </c>
      <c r="J376" s="9">
        <f t="shared" si="10"/>
        <v>46033</v>
      </c>
      <c r="K376" s="10">
        <f>INDEX(Daily_Merchant_Pivot!$B$3:$AO$32,MATCH(J376,Daily_Merchant_Pivot!$A$3:$A$32,0),MATCH(C376,Daily_Merchant_Pivot!$B$2:$AO$2,0))</f>
        <v>7998</v>
      </c>
      <c r="L376" s="3" t="str">
        <f>INDEX(Merchant_Region_Map!$D$3:$D$42,MATCH(C376,Merchant_Region_Map!$A$3:$A$42,0))</f>
        <v>North</v>
      </c>
      <c r="M376" s="11" t="str">
        <f t="shared" si="11"/>
        <v>High-Value Merchant Day</v>
      </c>
    </row>
    <row r="377" spans="1:13" x14ac:dyDescent="0.25">
      <c r="A377" t="s">
        <v>419</v>
      </c>
      <c r="B377">
        <v>313</v>
      </c>
      <c r="C377">
        <v>26</v>
      </c>
      <c r="D377" s="13" t="str">
        <f>IFERROR(VLOOKUP(C377,[1]Sheet1!$A$1:$C$41,2,0),"Merchant Not Found")</f>
        <v>Merchant_026</v>
      </c>
      <c r="E377" s="7">
        <v>46044.257638888899</v>
      </c>
      <c r="F377">
        <v>499</v>
      </c>
      <c r="G377" s="8" t="s">
        <v>39</v>
      </c>
      <c r="H377" s="8" t="s">
        <v>40</v>
      </c>
      <c r="I377">
        <v>54</v>
      </c>
      <c r="J377" s="9">
        <f t="shared" si="10"/>
        <v>46044</v>
      </c>
      <c r="K377" s="10">
        <f>INDEX(Daily_Merchant_Pivot!$B$3:$AO$32,MATCH(J377,Daily_Merchant_Pivot!$A$3:$A$32,0),MATCH(C377,Daily_Merchant_Pivot!$B$2:$AO$2,0))</f>
        <v>499</v>
      </c>
      <c r="L377" s="3" t="str">
        <f>INDEX(Merchant_Region_Map!$D$3:$D$42,MATCH(C377,Merchant_Region_Map!$A$3:$A$42,0))</f>
        <v>East</v>
      </c>
      <c r="M377" s="11" t="str">
        <f t="shared" si="11"/>
        <v/>
      </c>
    </row>
    <row r="378" spans="1:13" x14ac:dyDescent="0.25">
      <c r="A378" t="s">
        <v>420</v>
      </c>
      <c r="B378">
        <v>206</v>
      </c>
      <c r="C378">
        <v>7</v>
      </c>
      <c r="D378" s="13" t="str">
        <f>IFERROR(VLOOKUP(C378,[1]Sheet1!$A$1:$C$41,2,0),"Merchant Not Found")</f>
        <v>Merchant_007</v>
      </c>
      <c r="E378" s="7">
        <v>46039.420138888898</v>
      </c>
      <c r="F378">
        <v>149</v>
      </c>
      <c r="G378" s="8" t="s">
        <v>42</v>
      </c>
      <c r="H378" s="8" t="s">
        <v>40</v>
      </c>
      <c r="I378">
        <v>23</v>
      </c>
      <c r="J378" s="9">
        <f t="shared" si="10"/>
        <v>46039</v>
      </c>
      <c r="K378" s="10">
        <f>INDEX(Daily_Merchant_Pivot!$B$3:$AO$32,MATCH(J378,Daily_Merchant_Pivot!$A$3:$A$32,0),MATCH(C378,Daily_Merchant_Pivot!$B$2:$AO$2,0))</f>
        <v>149</v>
      </c>
      <c r="L378" s="3" t="str">
        <f>INDEX(Merchant_Region_Map!$D$3:$D$42,MATCH(C378,Merchant_Region_Map!$A$3:$A$42,0))</f>
        <v>East</v>
      </c>
      <c r="M378" s="11" t="str">
        <f t="shared" si="11"/>
        <v/>
      </c>
    </row>
    <row r="379" spans="1:13" x14ac:dyDescent="0.25">
      <c r="A379" t="s">
        <v>421</v>
      </c>
      <c r="B379">
        <v>128</v>
      </c>
      <c r="C379">
        <v>1</v>
      </c>
      <c r="D379" s="13" t="str">
        <f>IFERROR(VLOOKUP(C379,[1]Sheet1!$A$1:$C$41,2,0),"Merchant Not Found")</f>
        <v>Merchant_001</v>
      </c>
      <c r="E379" s="7">
        <v>46027.638888888898</v>
      </c>
      <c r="F379">
        <v>1499</v>
      </c>
      <c r="G379" s="8" t="s">
        <v>44</v>
      </c>
      <c r="H379" s="8" t="s">
        <v>40</v>
      </c>
      <c r="I379">
        <v>33</v>
      </c>
      <c r="J379" s="9">
        <f t="shared" si="10"/>
        <v>46027</v>
      </c>
      <c r="K379" s="10">
        <f>INDEX(Daily_Merchant_Pivot!$B$3:$AO$32,MATCH(J379,Daily_Merchant_Pivot!$A$3:$A$32,0),MATCH(C379,Daily_Merchant_Pivot!$B$2:$AO$2,0))</f>
        <v>1499</v>
      </c>
      <c r="L379" s="3" t="str">
        <f>INDEX(Merchant_Region_Map!$D$3:$D$42,MATCH(C379,Merchant_Region_Map!$A$3:$A$42,0))</f>
        <v>South</v>
      </c>
      <c r="M379" s="11" t="str">
        <f t="shared" si="11"/>
        <v/>
      </c>
    </row>
    <row r="380" spans="1:13" x14ac:dyDescent="0.25">
      <c r="A380" t="s">
        <v>422</v>
      </c>
      <c r="B380">
        <v>137</v>
      </c>
      <c r="C380">
        <v>22</v>
      </c>
      <c r="D380" s="13" t="str">
        <f>IFERROR(VLOOKUP(C380,[1]Sheet1!$A$1:$C$41,2,0),"Merchant Not Found")</f>
        <v>Merchant_022</v>
      </c>
      <c r="E380" s="7">
        <v>46035.311111111099</v>
      </c>
      <c r="F380">
        <v>799</v>
      </c>
      <c r="G380" s="8" t="s">
        <v>39</v>
      </c>
      <c r="H380" s="8" t="s">
        <v>53</v>
      </c>
      <c r="I380">
        <v>38</v>
      </c>
      <c r="J380" s="9">
        <f t="shared" si="10"/>
        <v>46035</v>
      </c>
      <c r="K380" s="10">
        <f>INDEX(Daily_Merchant_Pivot!$B$3:$AO$32,MATCH(J380,Daily_Merchant_Pivot!$A$3:$A$32,0),MATCH(C380,Daily_Merchant_Pivot!$B$2:$AO$2,0))</f>
        <v>4999</v>
      </c>
      <c r="L380" s="3" t="str">
        <f>INDEX(Merchant_Region_Map!$D$3:$D$42,MATCH(C380,Merchant_Region_Map!$A$3:$A$42,0))</f>
        <v>South</v>
      </c>
      <c r="M380" s="11" t="str">
        <f t="shared" si="11"/>
        <v/>
      </c>
    </row>
    <row r="381" spans="1:13" x14ac:dyDescent="0.25">
      <c r="A381" t="s">
        <v>423</v>
      </c>
      <c r="B381">
        <v>6</v>
      </c>
      <c r="C381">
        <v>17</v>
      </c>
      <c r="D381" s="13" t="str">
        <f>IFERROR(VLOOKUP(C381,[1]Sheet1!$A$1:$C$41,2,0),"Merchant Not Found")</f>
        <v>Merchant_017</v>
      </c>
      <c r="E381" s="7">
        <v>46041.983333333301</v>
      </c>
      <c r="F381">
        <v>49</v>
      </c>
      <c r="G381" s="8" t="s">
        <v>39</v>
      </c>
      <c r="H381" s="8" t="s">
        <v>40</v>
      </c>
      <c r="I381">
        <v>83</v>
      </c>
      <c r="J381" s="9">
        <f t="shared" si="10"/>
        <v>46041</v>
      </c>
      <c r="K381" s="10">
        <f>INDEX(Daily_Merchant_Pivot!$B$3:$AO$32,MATCH(J381,Daily_Merchant_Pivot!$A$3:$A$32,0),MATCH(C381,Daily_Merchant_Pivot!$B$2:$AO$2,0))</f>
        <v>49</v>
      </c>
      <c r="L381" s="3" t="str">
        <f>INDEX(Merchant_Region_Map!$D$3:$D$42,MATCH(C381,Merchant_Region_Map!$A$3:$A$42,0))</f>
        <v>North</v>
      </c>
      <c r="M381" s="11" t="str">
        <f t="shared" si="11"/>
        <v/>
      </c>
    </row>
    <row r="382" spans="1:13" x14ac:dyDescent="0.25">
      <c r="A382" t="s">
        <v>424</v>
      </c>
      <c r="B382">
        <v>32</v>
      </c>
      <c r="C382">
        <v>8</v>
      </c>
      <c r="D382" s="13" t="str">
        <f>IFERROR(VLOOKUP(C382,[1]Sheet1!$A$1:$C$41,2,0),"Merchant Not Found")</f>
        <v>Merchant_008</v>
      </c>
      <c r="E382" s="7">
        <v>46034.927083333299</v>
      </c>
      <c r="F382">
        <v>299</v>
      </c>
      <c r="G382" s="8" t="s">
        <v>52</v>
      </c>
      <c r="H382" s="8" t="s">
        <v>40</v>
      </c>
      <c r="I382">
        <v>59</v>
      </c>
      <c r="J382" s="9">
        <f t="shared" si="10"/>
        <v>46034</v>
      </c>
      <c r="K382" s="10">
        <f>INDEX(Daily_Merchant_Pivot!$B$3:$AO$32,MATCH(J382,Daily_Merchant_Pivot!$A$3:$A$32,0),MATCH(C382,Daily_Merchant_Pivot!$B$2:$AO$2,0))</f>
        <v>398</v>
      </c>
      <c r="L382" s="3" t="str">
        <f>INDEX(Merchant_Region_Map!$D$3:$D$42,MATCH(C382,Merchant_Region_Map!$A$3:$A$42,0))</f>
        <v>North</v>
      </c>
      <c r="M382" s="11" t="str">
        <f t="shared" si="11"/>
        <v/>
      </c>
    </row>
    <row r="383" spans="1:13" x14ac:dyDescent="0.25">
      <c r="A383" t="s">
        <v>425</v>
      </c>
      <c r="B383">
        <v>258</v>
      </c>
      <c r="C383">
        <v>20</v>
      </c>
      <c r="D383" s="13" t="str">
        <f>IFERROR(VLOOKUP(C383,[1]Sheet1!$A$1:$C$41,2,0),"Merchant Not Found")</f>
        <v>Merchant_020</v>
      </c>
      <c r="E383" s="7">
        <v>46032.225694444503</v>
      </c>
      <c r="F383">
        <v>149</v>
      </c>
      <c r="G383" s="8" t="s">
        <v>39</v>
      </c>
      <c r="H383" s="8" t="s">
        <v>40</v>
      </c>
      <c r="I383">
        <v>88</v>
      </c>
      <c r="J383" s="9">
        <f t="shared" si="10"/>
        <v>46032</v>
      </c>
      <c r="K383" s="10">
        <f>INDEX(Daily_Merchant_Pivot!$B$3:$AO$32,MATCH(J383,Daily_Merchant_Pivot!$A$3:$A$32,0),MATCH(C383,Daily_Merchant_Pivot!$B$2:$AO$2,0))</f>
        <v>149</v>
      </c>
      <c r="L383" s="3" t="str">
        <f>INDEX(Merchant_Region_Map!$D$3:$D$42,MATCH(C383,Merchant_Region_Map!$A$3:$A$42,0))</f>
        <v>East</v>
      </c>
      <c r="M383" s="11" t="str">
        <f t="shared" si="11"/>
        <v/>
      </c>
    </row>
    <row r="384" spans="1:13" x14ac:dyDescent="0.25">
      <c r="A384" t="s">
        <v>426</v>
      </c>
      <c r="B384">
        <v>152</v>
      </c>
      <c r="C384">
        <v>24</v>
      </c>
      <c r="D384" s="13" t="str">
        <f>IFERROR(VLOOKUP(C384,[1]Sheet1!$A$1:$C$41,2,0),"Merchant Not Found")</f>
        <v>Merchant_024</v>
      </c>
      <c r="E384" s="7">
        <v>46026.873611111099</v>
      </c>
      <c r="F384">
        <v>149</v>
      </c>
      <c r="G384" s="8" t="s">
        <v>39</v>
      </c>
      <c r="H384" s="8" t="s">
        <v>66</v>
      </c>
      <c r="I384">
        <v>78</v>
      </c>
      <c r="J384" s="9">
        <f t="shared" si="10"/>
        <v>46026</v>
      </c>
      <c r="K384" s="10">
        <f>INDEX(Daily_Merchant_Pivot!$B$3:$AO$32,MATCH(J384,Daily_Merchant_Pivot!$A$3:$A$32,0),MATCH(C384,Daily_Merchant_Pivot!$B$2:$AO$2,0))</f>
        <v>0</v>
      </c>
      <c r="L384" s="3" t="str">
        <f>INDEX(Merchant_Region_Map!$D$3:$D$42,MATCH(C384,Merchant_Region_Map!$A$3:$A$42,0))</f>
        <v>North</v>
      </c>
      <c r="M384" s="11" t="str">
        <f t="shared" si="11"/>
        <v/>
      </c>
    </row>
    <row r="385" spans="1:13" x14ac:dyDescent="0.25">
      <c r="A385" t="s">
        <v>427</v>
      </c>
      <c r="B385">
        <v>245</v>
      </c>
      <c r="C385">
        <v>10</v>
      </c>
      <c r="D385" s="13" t="str">
        <f>IFERROR(VLOOKUP(C385,[1]Sheet1!$A$1:$C$41,2,0),"Merchant Not Found")</f>
        <v>Merchant_010</v>
      </c>
      <c r="E385" s="7">
        <v>46030.297222222202</v>
      </c>
      <c r="F385">
        <v>799</v>
      </c>
      <c r="G385" s="8" t="s">
        <v>42</v>
      </c>
      <c r="H385" s="8" t="s">
        <v>40</v>
      </c>
      <c r="I385">
        <v>58</v>
      </c>
      <c r="J385" s="9">
        <f t="shared" si="10"/>
        <v>46030</v>
      </c>
      <c r="K385" s="10">
        <f>INDEX(Daily_Merchant_Pivot!$B$3:$AO$32,MATCH(J385,Daily_Merchant_Pivot!$A$3:$A$32,0),MATCH(C385,Daily_Merchant_Pivot!$B$2:$AO$2,0))</f>
        <v>799</v>
      </c>
      <c r="L385" s="3" t="str">
        <f>INDEX(Merchant_Region_Map!$D$3:$D$42,MATCH(C385,Merchant_Region_Map!$A$3:$A$42,0))</f>
        <v>West</v>
      </c>
      <c r="M385" s="11" t="str">
        <f t="shared" si="11"/>
        <v/>
      </c>
    </row>
    <row r="386" spans="1:13" x14ac:dyDescent="0.25">
      <c r="A386" t="s">
        <v>428</v>
      </c>
      <c r="B386">
        <v>213</v>
      </c>
      <c r="C386">
        <v>36</v>
      </c>
      <c r="D386" s="13" t="str">
        <f>IFERROR(VLOOKUP(C386,[1]Sheet1!$A$1:$C$41,2,0),"Merchant Not Found")</f>
        <v>Merchant_036</v>
      </c>
      <c r="E386" s="7">
        <v>46046.807638888902</v>
      </c>
      <c r="F386">
        <v>49</v>
      </c>
      <c r="G386" s="8" t="s">
        <v>42</v>
      </c>
      <c r="H386" s="8" t="s">
        <v>40</v>
      </c>
      <c r="I386">
        <v>60</v>
      </c>
      <c r="J386" s="9">
        <f t="shared" si="10"/>
        <v>46046</v>
      </c>
      <c r="K386" s="10">
        <f>INDEX(Daily_Merchant_Pivot!$B$3:$AO$32,MATCH(J386,Daily_Merchant_Pivot!$A$3:$A$32,0),MATCH(C386,Daily_Merchant_Pivot!$B$2:$AO$2,0))</f>
        <v>1647</v>
      </c>
      <c r="L386" s="3" t="str">
        <f>INDEX(Merchant_Region_Map!$D$3:$D$42,MATCH(C386,Merchant_Region_Map!$A$3:$A$42,0))</f>
        <v>East</v>
      </c>
      <c r="M386" s="11" t="str">
        <f t="shared" si="11"/>
        <v/>
      </c>
    </row>
    <row r="387" spans="1:13" x14ac:dyDescent="0.25">
      <c r="A387" t="s">
        <v>429</v>
      </c>
      <c r="B387">
        <v>341</v>
      </c>
      <c r="C387">
        <v>14</v>
      </c>
      <c r="D387" s="13" t="str">
        <f>IFERROR(VLOOKUP(C387,[1]Sheet1!$A$1:$C$41,2,0),"Merchant Not Found")</f>
        <v>Merchant_014</v>
      </c>
      <c r="E387" s="7">
        <v>46047.743750000001</v>
      </c>
      <c r="F387">
        <v>99</v>
      </c>
      <c r="G387" s="8" t="s">
        <v>44</v>
      </c>
      <c r="H387" s="8" t="s">
        <v>40</v>
      </c>
      <c r="I387">
        <v>97</v>
      </c>
      <c r="J387" s="9">
        <f t="shared" ref="J387:J450" si="12">INT(E387)</f>
        <v>46047</v>
      </c>
      <c r="K387" s="10">
        <f>INDEX(Daily_Merchant_Pivot!$B$3:$AO$32,MATCH(J387,Daily_Merchant_Pivot!$A$3:$A$32,0),MATCH(C387,Daily_Merchant_Pivot!$B$2:$AO$2,0))</f>
        <v>1598</v>
      </c>
      <c r="L387" s="3" t="str">
        <f>INDEX(Merchant_Region_Map!$D$3:$D$42,MATCH(C387,Merchant_Region_Map!$A$3:$A$42,0))</f>
        <v>East</v>
      </c>
      <c r="M387" s="11" t="str">
        <f t="shared" ref="M387:M450" si="13">IF(AND(K387&gt;5000,L387&lt;&gt;"East"),"High-Value Merchant Day","")</f>
        <v/>
      </c>
    </row>
    <row r="388" spans="1:13" x14ac:dyDescent="0.25">
      <c r="A388" t="s">
        <v>430</v>
      </c>
      <c r="B388">
        <v>306</v>
      </c>
      <c r="C388">
        <v>6</v>
      </c>
      <c r="D388" s="13" t="str">
        <f>IFERROR(VLOOKUP(C388,[1]Sheet1!$A$1:$C$41,2,0),"Merchant Not Found")</f>
        <v>Merchant_006</v>
      </c>
      <c r="E388" s="7">
        <v>46030.908333333296</v>
      </c>
      <c r="F388">
        <v>149</v>
      </c>
      <c r="G388" s="8" t="s">
        <v>44</v>
      </c>
      <c r="H388" s="8" t="s">
        <v>40</v>
      </c>
      <c r="I388">
        <v>67</v>
      </c>
      <c r="J388" s="9">
        <f t="shared" si="12"/>
        <v>46030</v>
      </c>
      <c r="K388" s="10">
        <f>INDEX(Daily_Merchant_Pivot!$B$3:$AO$32,MATCH(J388,Daily_Merchant_Pivot!$A$3:$A$32,0),MATCH(C388,Daily_Merchant_Pivot!$B$2:$AO$2,0))</f>
        <v>149</v>
      </c>
      <c r="L388" s="3" t="str">
        <f>INDEX(Merchant_Region_Map!$D$3:$D$42,MATCH(C388,Merchant_Region_Map!$A$3:$A$42,0))</f>
        <v>South</v>
      </c>
      <c r="M388" s="11" t="str">
        <f t="shared" si="13"/>
        <v/>
      </c>
    </row>
    <row r="389" spans="1:13" x14ac:dyDescent="0.25">
      <c r="A389" t="s">
        <v>431</v>
      </c>
      <c r="B389">
        <v>186</v>
      </c>
      <c r="C389">
        <v>5</v>
      </c>
      <c r="D389" s="13" t="str">
        <f>IFERROR(VLOOKUP(C389,[1]Sheet1!$A$1:$C$41,2,0),"Merchant Not Found")</f>
        <v>Merchant_005</v>
      </c>
      <c r="E389" s="7">
        <v>46037.697916666701</v>
      </c>
      <c r="F389">
        <v>499</v>
      </c>
      <c r="G389" s="8" t="s">
        <v>39</v>
      </c>
      <c r="H389" s="8" t="s">
        <v>40</v>
      </c>
      <c r="I389">
        <v>72</v>
      </c>
      <c r="J389" s="9">
        <f t="shared" si="12"/>
        <v>46037</v>
      </c>
      <c r="K389" s="10">
        <f>INDEX(Daily_Merchant_Pivot!$B$3:$AO$32,MATCH(J389,Daily_Merchant_Pivot!$A$3:$A$32,0),MATCH(C389,Daily_Merchant_Pivot!$B$2:$AO$2,0))</f>
        <v>548</v>
      </c>
      <c r="L389" s="3" t="str">
        <f>INDEX(Merchant_Region_Map!$D$3:$D$42,MATCH(C389,Merchant_Region_Map!$A$3:$A$42,0))</f>
        <v>South</v>
      </c>
      <c r="M389" s="11" t="str">
        <f t="shared" si="13"/>
        <v/>
      </c>
    </row>
    <row r="390" spans="1:13" x14ac:dyDescent="0.25">
      <c r="A390" t="s">
        <v>432</v>
      </c>
      <c r="B390">
        <v>281</v>
      </c>
      <c r="C390">
        <v>33</v>
      </c>
      <c r="D390" s="13" t="str">
        <f>IFERROR(VLOOKUP(C390,[1]Sheet1!$A$1:$C$41,2,0),"Merchant Not Found")</f>
        <v>Merchant_033</v>
      </c>
      <c r="E390" s="7">
        <v>46026.078472222202</v>
      </c>
      <c r="F390">
        <v>4999</v>
      </c>
      <c r="G390" s="8" t="s">
        <v>39</v>
      </c>
      <c r="H390" s="8" t="s">
        <v>40</v>
      </c>
      <c r="I390">
        <v>25</v>
      </c>
      <c r="J390" s="9">
        <f t="shared" si="12"/>
        <v>46026</v>
      </c>
      <c r="K390" s="10">
        <f>INDEX(Daily_Merchant_Pivot!$B$3:$AO$32,MATCH(J390,Daily_Merchant_Pivot!$A$3:$A$32,0),MATCH(C390,Daily_Merchant_Pivot!$B$2:$AO$2,0))</f>
        <v>4999</v>
      </c>
      <c r="L390" s="3" t="str">
        <f>INDEX(Merchant_Region_Map!$D$3:$D$42,MATCH(C390,Merchant_Region_Map!$A$3:$A$42,0))</f>
        <v>East</v>
      </c>
      <c r="M390" s="11" t="str">
        <f t="shared" si="13"/>
        <v/>
      </c>
    </row>
    <row r="391" spans="1:13" x14ac:dyDescent="0.25">
      <c r="A391" t="s">
        <v>433</v>
      </c>
      <c r="B391">
        <v>85</v>
      </c>
      <c r="C391">
        <v>21</v>
      </c>
      <c r="D391" s="13" t="str">
        <f>IFERROR(VLOOKUP(C391,[1]Sheet1!$A$1:$C$41,2,0),"Merchant Not Found")</f>
        <v>Merchant_021</v>
      </c>
      <c r="E391" s="7">
        <v>46041.714583333298</v>
      </c>
      <c r="F391">
        <v>99</v>
      </c>
      <c r="G391" s="8" t="s">
        <v>39</v>
      </c>
      <c r="H391" s="8" t="s">
        <v>40</v>
      </c>
      <c r="I391">
        <v>66</v>
      </c>
      <c r="J391" s="9">
        <f t="shared" si="12"/>
        <v>46041</v>
      </c>
      <c r="K391" s="10">
        <f>INDEX(Daily_Merchant_Pivot!$B$3:$AO$32,MATCH(J391,Daily_Merchant_Pivot!$A$3:$A$32,0),MATCH(C391,Daily_Merchant_Pivot!$B$2:$AO$2,0))</f>
        <v>99</v>
      </c>
      <c r="L391" s="3" t="str">
        <f>INDEX(Merchant_Region_Map!$D$3:$D$42,MATCH(C391,Merchant_Region_Map!$A$3:$A$42,0))</f>
        <v>East</v>
      </c>
      <c r="M391" s="11" t="str">
        <f t="shared" si="13"/>
        <v/>
      </c>
    </row>
    <row r="392" spans="1:13" x14ac:dyDescent="0.25">
      <c r="A392" t="s">
        <v>434</v>
      </c>
      <c r="B392">
        <v>106</v>
      </c>
      <c r="C392">
        <v>38</v>
      </c>
      <c r="D392" s="13" t="str">
        <f>IFERROR(VLOOKUP(C392,[1]Sheet1!$A$1:$C$41,2,0),"Merchant Not Found")</f>
        <v>Merchant_038</v>
      </c>
      <c r="E392" s="7">
        <v>46037.154861111099</v>
      </c>
      <c r="F392">
        <v>499</v>
      </c>
      <c r="G392" s="8" t="s">
        <v>39</v>
      </c>
      <c r="H392" s="8" t="s">
        <v>40</v>
      </c>
      <c r="I392">
        <v>62</v>
      </c>
      <c r="J392" s="9">
        <f t="shared" si="12"/>
        <v>46037</v>
      </c>
      <c r="K392" s="10">
        <f>INDEX(Daily_Merchant_Pivot!$B$3:$AO$32,MATCH(J392,Daily_Merchant_Pivot!$A$3:$A$32,0),MATCH(C392,Daily_Merchant_Pivot!$B$2:$AO$2,0))</f>
        <v>499</v>
      </c>
      <c r="L392" s="3" t="str">
        <f>INDEX(Merchant_Region_Map!$D$3:$D$42,MATCH(C392,Merchant_Region_Map!$A$3:$A$42,0))</f>
        <v>East</v>
      </c>
      <c r="M392" s="11" t="str">
        <f t="shared" si="13"/>
        <v/>
      </c>
    </row>
    <row r="393" spans="1:13" x14ac:dyDescent="0.25">
      <c r="A393" t="s">
        <v>435</v>
      </c>
      <c r="B393">
        <v>29</v>
      </c>
      <c r="C393">
        <v>30</v>
      </c>
      <c r="D393" s="13" t="str">
        <f>IFERROR(VLOOKUP(C393,[1]Sheet1!$A$1:$C$41,2,0),"Merchant Not Found")</f>
        <v>Merchant_030</v>
      </c>
      <c r="E393" s="7">
        <v>46025.686111111099</v>
      </c>
      <c r="F393">
        <v>149</v>
      </c>
      <c r="G393" s="8" t="s">
        <v>44</v>
      </c>
      <c r="H393" s="8" t="s">
        <v>40</v>
      </c>
      <c r="I393">
        <v>16</v>
      </c>
      <c r="J393" s="9">
        <f t="shared" si="12"/>
        <v>46025</v>
      </c>
      <c r="K393" s="10">
        <f>INDEX(Daily_Merchant_Pivot!$B$3:$AO$32,MATCH(J393,Daily_Merchant_Pivot!$A$3:$A$32,0),MATCH(C393,Daily_Merchant_Pivot!$B$2:$AO$2,0))</f>
        <v>149</v>
      </c>
      <c r="L393" s="3" t="str">
        <f>INDEX(Merchant_Region_Map!$D$3:$D$42,MATCH(C393,Merchant_Region_Map!$A$3:$A$42,0))</f>
        <v>West</v>
      </c>
      <c r="M393" s="11" t="str">
        <f t="shared" si="13"/>
        <v/>
      </c>
    </row>
    <row r="394" spans="1:13" x14ac:dyDescent="0.25">
      <c r="A394" t="s">
        <v>436</v>
      </c>
      <c r="B394">
        <v>289</v>
      </c>
      <c r="C394">
        <v>4</v>
      </c>
      <c r="D394" s="13" t="str">
        <f>IFERROR(VLOOKUP(C394,[1]Sheet1!$A$1:$C$41,2,0),"Merchant Not Found")</f>
        <v>Merchant_004</v>
      </c>
      <c r="E394" s="7">
        <v>46039.561805555597</v>
      </c>
      <c r="F394">
        <v>1499</v>
      </c>
      <c r="G394" s="8" t="s">
        <v>52</v>
      </c>
      <c r="H394" s="8" t="s">
        <v>40</v>
      </c>
      <c r="I394">
        <v>71</v>
      </c>
      <c r="J394" s="9">
        <f t="shared" si="12"/>
        <v>46039</v>
      </c>
      <c r="K394" s="10">
        <f>INDEX(Daily_Merchant_Pivot!$B$3:$AO$32,MATCH(J394,Daily_Merchant_Pivot!$A$3:$A$32,0),MATCH(C394,Daily_Merchant_Pivot!$B$2:$AO$2,0))</f>
        <v>1499</v>
      </c>
      <c r="L394" s="3" t="str">
        <f>INDEX(Merchant_Region_Map!$D$3:$D$42,MATCH(C394,Merchant_Region_Map!$A$3:$A$42,0))</f>
        <v>East</v>
      </c>
      <c r="M394" s="11" t="str">
        <f t="shared" si="13"/>
        <v/>
      </c>
    </row>
    <row r="395" spans="1:13" x14ac:dyDescent="0.25">
      <c r="A395" t="s">
        <v>437</v>
      </c>
      <c r="B395">
        <v>158</v>
      </c>
      <c r="C395">
        <v>2</v>
      </c>
      <c r="D395" s="13" t="str">
        <f>IFERROR(VLOOKUP(C395,[1]Sheet1!$A$1:$C$41,2,0),"Merchant Not Found")</f>
        <v>Merchant_002</v>
      </c>
      <c r="E395" s="7">
        <v>46037.910416666702</v>
      </c>
      <c r="F395">
        <v>1499</v>
      </c>
      <c r="G395" s="8" t="s">
        <v>52</v>
      </c>
      <c r="H395" s="8" t="s">
        <v>53</v>
      </c>
      <c r="I395">
        <v>50</v>
      </c>
      <c r="J395" s="9">
        <f t="shared" si="12"/>
        <v>46037</v>
      </c>
      <c r="K395" s="10">
        <f>INDEX(Daily_Merchant_Pivot!$B$3:$AO$32,MATCH(J395,Daily_Merchant_Pivot!$A$3:$A$32,0),MATCH(C395,Daily_Merchant_Pivot!$B$2:$AO$2,0))</f>
        <v>0</v>
      </c>
      <c r="L395" s="3" t="str">
        <f>INDEX(Merchant_Region_Map!$D$3:$D$42,MATCH(C395,Merchant_Region_Map!$A$3:$A$42,0))</f>
        <v>West</v>
      </c>
      <c r="M395" s="11" t="str">
        <f t="shared" si="13"/>
        <v/>
      </c>
    </row>
    <row r="396" spans="1:13" x14ac:dyDescent="0.25">
      <c r="A396" t="s">
        <v>438</v>
      </c>
      <c r="B396">
        <v>112</v>
      </c>
      <c r="C396">
        <v>38</v>
      </c>
      <c r="D396" s="13" t="str">
        <f>IFERROR(VLOOKUP(C396,[1]Sheet1!$A$1:$C$41,2,0),"Merchant Not Found")</f>
        <v>Merchant_038</v>
      </c>
      <c r="E396" s="7">
        <v>46031.032638888901</v>
      </c>
      <c r="F396">
        <v>49</v>
      </c>
      <c r="G396" s="8" t="s">
        <v>39</v>
      </c>
      <c r="H396" s="8" t="s">
        <v>40</v>
      </c>
      <c r="I396">
        <v>9</v>
      </c>
      <c r="J396" s="9">
        <f t="shared" si="12"/>
        <v>46031</v>
      </c>
      <c r="K396" s="10">
        <f>INDEX(Daily_Merchant_Pivot!$B$3:$AO$32,MATCH(J396,Daily_Merchant_Pivot!$A$3:$A$32,0),MATCH(C396,Daily_Merchant_Pivot!$B$2:$AO$2,0))</f>
        <v>49</v>
      </c>
      <c r="L396" s="3" t="str">
        <f>INDEX(Merchant_Region_Map!$D$3:$D$42,MATCH(C396,Merchant_Region_Map!$A$3:$A$42,0))</f>
        <v>East</v>
      </c>
      <c r="M396" s="11" t="str">
        <f t="shared" si="13"/>
        <v/>
      </c>
    </row>
    <row r="397" spans="1:13" x14ac:dyDescent="0.25">
      <c r="A397" t="s">
        <v>439</v>
      </c>
      <c r="B397">
        <v>33</v>
      </c>
      <c r="C397">
        <v>35</v>
      </c>
      <c r="D397" s="13" t="str">
        <f>IFERROR(VLOOKUP(C397,[1]Sheet1!$A$1:$C$41,2,0),"Merchant Not Found")</f>
        <v>Merchant_035</v>
      </c>
      <c r="E397" s="7">
        <v>46024.556944444397</v>
      </c>
      <c r="F397">
        <v>299</v>
      </c>
      <c r="G397" s="8" t="s">
        <v>52</v>
      </c>
      <c r="H397" s="8" t="s">
        <v>53</v>
      </c>
      <c r="I397">
        <v>7</v>
      </c>
      <c r="J397" s="9">
        <f t="shared" si="12"/>
        <v>46024</v>
      </c>
      <c r="K397" s="10">
        <f>INDEX(Daily_Merchant_Pivot!$B$3:$AO$32,MATCH(J397,Daily_Merchant_Pivot!$A$3:$A$32,0),MATCH(C397,Daily_Merchant_Pivot!$B$2:$AO$2,0))</f>
        <v>1548</v>
      </c>
      <c r="L397" s="3" t="str">
        <f>INDEX(Merchant_Region_Map!$D$3:$D$42,MATCH(C397,Merchant_Region_Map!$A$3:$A$42,0))</f>
        <v>East</v>
      </c>
      <c r="M397" s="11" t="str">
        <f t="shared" si="13"/>
        <v/>
      </c>
    </row>
    <row r="398" spans="1:13" x14ac:dyDescent="0.25">
      <c r="A398" t="s">
        <v>440</v>
      </c>
      <c r="B398">
        <v>242</v>
      </c>
      <c r="C398">
        <v>3</v>
      </c>
      <c r="D398" s="13" t="str">
        <f>IFERROR(VLOOKUP(C398,[1]Sheet1!$A$1:$C$41,2,0),"Merchant Not Found")</f>
        <v>Merchant_003</v>
      </c>
      <c r="E398" s="7">
        <v>46052.124305555597</v>
      </c>
      <c r="F398">
        <v>49</v>
      </c>
      <c r="G398" s="8" t="s">
        <v>39</v>
      </c>
      <c r="H398" s="8" t="s">
        <v>40</v>
      </c>
      <c r="I398">
        <v>36</v>
      </c>
      <c r="J398" s="9">
        <f t="shared" si="12"/>
        <v>46052</v>
      </c>
      <c r="K398" s="10">
        <f>INDEX(Daily_Merchant_Pivot!$B$3:$AO$32,MATCH(J398,Daily_Merchant_Pivot!$A$3:$A$32,0),MATCH(C398,Daily_Merchant_Pivot!$B$2:$AO$2,0))</f>
        <v>49</v>
      </c>
      <c r="L398" s="3" t="str">
        <f>INDEX(Merchant_Region_Map!$D$3:$D$42,MATCH(C398,Merchant_Region_Map!$A$3:$A$42,0))</f>
        <v>East</v>
      </c>
      <c r="M398" s="11" t="str">
        <f t="shared" si="13"/>
        <v/>
      </c>
    </row>
    <row r="399" spans="1:13" x14ac:dyDescent="0.25">
      <c r="A399" t="s">
        <v>441</v>
      </c>
      <c r="B399">
        <v>70</v>
      </c>
      <c r="C399">
        <v>27</v>
      </c>
      <c r="D399" s="13" t="str">
        <f>IFERROR(VLOOKUP(C399,[1]Sheet1!$A$1:$C$41,2,0),"Merchant Not Found")</f>
        <v>Merchant_027</v>
      </c>
      <c r="E399" s="7">
        <v>46036.242361111101</v>
      </c>
      <c r="F399">
        <v>149</v>
      </c>
      <c r="G399" s="8" t="s">
        <v>39</v>
      </c>
      <c r="H399" s="8" t="s">
        <v>40</v>
      </c>
      <c r="I399">
        <v>47</v>
      </c>
      <c r="J399" s="9">
        <f t="shared" si="12"/>
        <v>46036</v>
      </c>
      <c r="K399" s="10">
        <f>INDEX(Daily_Merchant_Pivot!$B$3:$AO$32,MATCH(J399,Daily_Merchant_Pivot!$A$3:$A$32,0),MATCH(C399,Daily_Merchant_Pivot!$B$2:$AO$2,0))</f>
        <v>149</v>
      </c>
      <c r="L399" s="3" t="str">
        <f>INDEX(Merchant_Region_Map!$D$3:$D$42,MATCH(C399,Merchant_Region_Map!$A$3:$A$42,0))</f>
        <v>North</v>
      </c>
      <c r="M399" s="11" t="str">
        <f t="shared" si="13"/>
        <v/>
      </c>
    </row>
    <row r="400" spans="1:13" x14ac:dyDescent="0.25">
      <c r="A400" t="s">
        <v>442</v>
      </c>
      <c r="B400">
        <v>194</v>
      </c>
      <c r="C400">
        <v>25</v>
      </c>
      <c r="D400" s="13" t="str">
        <f>IFERROR(VLOOKUP(C400,[1]Sheet1!$A$1:$C$41,2,0),"Merchant Not Found")</f>
        <v>Merchant_025</v>
      </c>
      <c r="E400" s="7">
        <v>46051.519444444399</v>
      </c>
      <c r="F400">
        <v>49</v>
      </c>
      <c r="G400" s="8" t="s">
        <v>42</v>
      </c>
      <c r="H400" s="8" t="s">
        <v>40</v>
      </c>
      <c r="I400">
        <v>10</v>
      </c>
      <c r="J400" s="9">
        <f t="shared" si="12"/>
        <v>46051</v>
      </c>
      <c r="K400" s="10">
        <f>INDEX(Daily_Merchant_Pivot!$B$3:$AO$32,MATCH(J400,Daily_Merchant_Pivot!$A$3:$A$32,0),MATCH(C400,Daily_Merchant_Pivot!$B$2:$AO$2,0))</f>
        <v>49</v>
      </c>
      <c r="L400" s="3" t="str">
        <f>INDEX(Merchant_Region_Map!$D$3:$D$42,MATCH(C400,Merchant_Region_Map!$A$3:$A$42,0))</f>
        <v>South</v>
      </c>
      <c r="M400" s="11" t="str">
        <f t="shared" si="13"/>
        <v/>
      </c>
    </row>
    <row r="401" spans="1:13" x14ac:dyDescent="0.25">
      <c r="A401" t="s">
        <v>443</v>
      </c>
      <c r="B401">
        <v>277</v>
      </c>
      <c r="C401">
        <v>9</v>
      </c>
      <c r="D401" s="13" t="str">
        <f>IFERROR(VLOOKUP(C401,[1]Sheet1!$A$1:$C$41,2,0),"Merchant Not Found")</f>
        <v>Merchant_009</v>
      </c>
      <c r="E401" s="7">
        <v>46044.913194444503</v>
      </c>
      <c r="F401">
        <v>799</v>
      </c>
      <c r="G401" s="8" t="s">
        <v>39</v>
      </c>
      <c r="H401" s="8" t="s">
        <v>40</v>
      </c>
      <c r="I401">
        <v>83</v>
      </c>
      <c r="J401" s="9">
        <f t="shared" si="12"/>
        <v>46044</v>
      </c>
      <c r="K401" s="10">
        <f>INDEX(Daily_Merchant_Pivot!$B$3:$AO$32,MATCH(J401,Daily_Merchant_Pivot!$A$3:$A$32,0),MATCH(C401,Daily_Merchant_Pivot!$B$2:$AO$2,0))</f>
        <v>799</v>
      </c>
      <c r="L401" s="3" t="str">
        <f>INDEX(Merchant_Region_Map!$D$3:$D$42,MATCH(C401,Merchant_Region_Map!$A$3:$A$42,0))</f>
        <v>North</v>
      </c>
      <c r="M401" s="11" t="str">
        <f t="shared" si="13"/>
        <v/>
      </c>
    </row>
    <row r="402" spans="1:13" x14ac:dyDescent="0.25">
      <c r="A402" t="s">
        <v>444</v>
      </c>
      <c r="B402">
        <v>92</v>
      </c>
      <c r="C402">
        <v>35</v>
      </c>
      <c r="D402" s="13" t="str">
        <f>IFERROR(VLOOKUP(C402,[1]Sheet1!$A$1:$C$41,2,0),"Merchant Not Found")</f>
        <v>Merchant_035</v>
      </c>
      <c r="E402" s="7">
        <v>46050.463194444397</v>
      </c>
      <c r="F402">
        <v>49</v>
      </c>
      <c r="G402" s="8" t="s">
        <v>39</v>
      </c>
      <c r="H402" s="8" t="s">
        <v>40</v>
      </c>
      <c r="I402">
        <v>50</v>
      </c>
      <c r="J402" s="9">
        <f t="shared" si="12"/>
        <v>46050</v>
      </c>
      <c r="K402" s="10">
        <f>INDEX(Daily_Merchant_Pivot!$B$3:$AO$32,MATCH(J402,Daily_Merchant_Pivot!$A$3:$A$32,0),MATCH(C402,Daily_Merchant_Pivot!$B$2:$AO$2,0))</f>
        <v>49</v>
      </c>
      <c r="L402" s="3" t="str">
        <f>INDEX(Merchant_Region_Map!$D$3:$D$42,MATCH(C402,Merchant_Region_Map!$A$3:$A$42,0))</f>
        <v>East</v>
      </c>
      <c r="M402" s="11" t="str">
        <f t="shared" si="13"/>
        <v/>
      </c>
    </row>
    <row r="403" spans="1:13" x14ac:dyDescent="0.25">
      <c r="A403" t="s">
        <v>445</v>
      </c>
      <c r="B403">
        <v>115</v>
      </c>
      <c r="C403">
        <v>1</v>
      </c>
      <c r="D403" s="13" t="str">
        <f>IFERROR(VLOOKUP(C403,[1]Sheet1!$A$1:$C$41,2,0),"Merchant Not Found")</f>
        <v>Merchant_001</v>
      </c>
      <c r="E403" s="7">
        <v>46039.198611111096</v>
      </c>
      <c r="F403">
        <v>149</v>
      </c>
      <c r="G403" s="8" t="s">
        <v>42</v>
      </c>
      <c r="H403" s="8" t="s">
        <v>40</v>
      </c>
      <c r="I403">
        <v>96</v>
      </c>
      <c r="J403" s="9">
        <f t="shared" si="12"/>
        <v>46039</v>
      </c>
      <c r="K403" s="10">
        <f>INDEX(Daily_Merchant_Pivot!$B$3:$AO$32,MATCH(J403,Daily_Merchant_Pivot!$A$3:$A$32,0),MATCH(C403,Daily_Merchant_Pivot!$B$2:$AO$2,0))</f>
        <v>149</v>
      </c>
      <c r="L403" s="3" t="str">
        <f>INDEX(Merchant_Region_Map!$D$3:$D$42,MATCH(C403,Merchant_Region_Map!$A$3:$A$42,0))</f>
        <v>South</v>
      </c>
      <c r="M403" s="11" t="str">
        <f t="shared" si="13"/>
        <v/>
      </c>
    </row>
    <row r="404" spans="1:13" x14ac:dyDescent="0.25">
      <c r="A404" t="s">
        <v>446</v>
      </c>
      <c r="B404">
        <v>345</v>
      </c>
      <c r="C404">
        <v>35</v>
      </c>
      <c r="D404" s="13" t="str">
        <f>IFERROR(VLOOKUP(C404,[1]Sheet1!$A$1:$C$41,2,0),"Merchant Not Found")</f>
        <v>Merchant_035</v>
      </c>
      <c r="E404" s="7">
        <v>46023.395138888904</v>
      </c>
      <c r="F404">
        <v>499</v>
      </c>
      <c r="G404" s="8" t="s">
        <v>52</v>
      </c>
      <c r="H404" s="8" t="s">
        <v>40</v>
      </c>
      <c r="I404">
        <v>54</v>
      </c>
      <c r="J404" s="9">
        <f t="shared" si="12"/>
        <v>46023</v>
      </c>
      <c r="K404" s="10">
        <f>INDEX(Daily_Merchant_Pivot!$B$3:$AO$32,MATCH(J404,Daily_Merchant_Pivot!$A$3:$A$32,0),MATCH(C404,Daily_Merchant_Pivot!$B$2:$AO$2,0))</f>
        <v>499</v>
      </c>
      <c r="L404" s="3" t="str">
        <f>INDEX(Merchant_Region_Map!$D$3:$D$42,MATCH(C404,Merchant_Region_Map!$A$3:$A$42,0))</f>
        <v>East</v>
      </c>
      <c r="M404" s="11" t="str">
        <f t="shared" si="13"/>
        <v/>
      </c>
    </row>
    <row r="405" spans="1:13" x14ac:dyDescent="0.25">
      <c r="A405" t="s">
        <v>447</v>
      </c>
      <c r="B405">
        <v>118</v>
      </c>
      <c r="C405">
        <v>16</v>
      </c>
      <c r="D405" s="13" t="str">
        <f>IFERROR(VLOOKUP(C405,[1]Sheet1!$A$1:$C$41,2,0),"Merchant Not Found")</f>
        <v>Merchant_016</v>
      </c>
      <c r="E405" s="7">
        <v>46040.536111111098</v>
      </c>
      <c r="F405">
        <v>49</v>
      </c>
      <c r="G405" s="8" t="s">
        <v>39</v>
      </c>
      <c r="H405" s="8" t="s">
        <v>40</v>
      </c>
      <c r="I405">
        <v>58</v>
      </c>
      <c r="J405" s="9">
        <f t="shared" si="12"/>
        <v>46040</v>
      </c>
      <c r="K405" s="10">
        <f>INDEX(Daily_Merchant_Pivot!$B$3:$AO$32,MATCH(J405,Daily_Merchant_Pivot!$A$3:$A$32,0),MATCH(C405,Daily_Merchant_Pivot!$B$2:$AO$2,0))</f>
        <v>49</v>
      </c>
      <c r="L405" s="3" t="str">
        <f>INDEX(Merchant_Region_Map!$D$3:$D$42,MATCH(C405,Merchant_Region_Map!$A$3:$A$42,0))</f>
        <v>West</v>
      </c>
      <c r="M405" s="11" t="str">
        <f t="shared" si="13"/>
        <v/>
      </c>
    </row>
    <row r="406" spans="1:13" x14ac:dyDescent="0.25">
      <c r="A406" t="s">
        <v>448</v>
      </c>
      <c r="B406">
        <v>97</v>
      </c>
      <c r="C406">
        <v>8</v>
      </c>
      <c r="D406" s="13" t="str">
        <f>IFERROR(VLOOKUP(C406,[1]Sheet1!$A$1:$C$41,2,0),"Merchant Not Found")</f>
        <v>Merchant_008</v>
      </c>
      <c r="E406" s="7">
        <v>46034.1784722222</v>
      </c>
      <c r="F406">
        <v>99</v>
      </c>
      <c r="G406" s="8" t="s">
        <v>44</v>
      </c>
      <c r="H406" s="8" t="s">
        <v>40</v>
      </c>
      <c r="I406">
        <v>4</v>
      </c>
      <c r="J406" s="9">
        <f t="shared" si="12"/>
        <v>46034</v>
      </c>
      <c r="K406" s="10">
        <f>INDEX(Daily_Merchant_Pivot!$B$3:$AO$32,MATCH(J406,Daily_Merchant_Pivot!$A$3:$A$32,0),MATCH(C406,Daily_Merchant_Pivot!$B$2:$AO$2,0))</f>
        <v>398</v>
      </c>
      <c r="L406" s="3" t="str">
        <f>INDEX(Merchant_Region_Map!$D$3:$D$42,MATCH(C406,Merchant_Region_Map!$A$3:$A$42,0))</f>
        <v>North</v>
      </c>
      <c r="M406" s="11" t="str">
        <f t="shared" si="13"/>
        <v/>
      </c>
    </row>
    <row r="407" spans="1:13" x14ac:dyDescent="0.25">
      <c r="A407" t="s">
        <v>449</v>
      </c>
      <c r="B407">
        <v>315</v>
      </c>
      <c r="C407">
        <v>2</v>
      </c>
      <c r="D407" s="13" t="str">
        <f>IFERROR(VLOOKUP(C407,[1]Sheet1!$A$1:$C$41,2,0),"Merchant Not Found")</f>
        <v>Merchant_002</v>
      </c>
      <c r="E407" s="7">
        <v>46048.8930555556</v>
      </c>
      <c r="F407">
        <v>299</v>
      </c>
      <c r="G407" s="8" t="s">
        <v>42</v>
      </c>
      <c r="H407" s="8" t="s">
        <v>40</v>
      </c>
      <c r="I407">
        <v>30</v>
      </c>
      <c r="J407" s="9">
        <f t="shared" si="12"/>
        <v>46048</v>
      </c>
      <c r="K407" s="10">
        <f>INDEX(Daily_Merchant_Pivot!$B$3:$AO$32,MATCH(J407,Daily_Merchant_Pivot!$A$3:$A$32,0),MATCH(C407,Daily_Merchant_Pivot!$B$2:$AO$2,0))</f>
        <v>299</v>
      </c>
      <c r="L407" s="3" t="str">
        <f>INDEX(Merchant_Region_Map!$D$3:$D$42,MATCH(C407,Merchant_Region_Map!$A$3:$A$42,0))</f>
        <v>West</v>
      </c>
      <c r="M407" s="11" t="str">
        <f t="shared" si="13"/>
        <v/>
      </c>
    </row>
    <row r="408" spans="1:13" x14ac:dyDescent="0.25">
      <c r="A408" t="s">
        <v>450</v>
      </c>
      <c r="B408">
        <v>305</v>
      </c>
      <c r="C408">
        <v>3</v>
      </c>
      <c r="D408" s="13" t="str">
        <f>IFERROR(VLOOKUP(C408,[1]Sheet1!$A$1:$C$41,2,0),"Merchant Not Found")</f>
        <v>Merchant_003</v>
      </c>
      <c r="E408" s="7">
        <v>46029.087500000001</v>
      </c>
      <c r="F408">
        <v>299</v>
      </c>
      <c r="G408" s="8" t="s">
        <v>39</v>
      </c>
      <c r="H408" s="8" t="s">
        <v>40</v>
      </c>
      <c r="I408">
        <v>57</v>
      </c>
      <c r="J408" s="9">
        <f t="shared" si="12"/>
        <v>46029</v>
      </c>
      <c r="K408" s="10">
        <f>INDEX(Daily_Merchant_Pivot!$B$3:$AO$32,MATCH(J408,Daily_Merchant_Pivot!$A$3:$A$32,0),MATCH(C408,Daily_Merchant_Pivot!$B$2:$AO$2,0))</f>
        <v>798</v>
      </c>
      <c r="L408" s="3" t="str">
        <f>INDEX(Merchant_Region_Map!$D$3:$D$42,MATCH(C408,Merchant_Region_Map!$A$3:$A$42,0))</f>
        <v>East</v>
      </c>
      <c r="M408" s="11" t="str">
        <f t="shared" si="13"/>
        <v/>
      </c>
    </row>
    <row r="409" spans="1:13" x14ac:dyDescent="0.25">
      <c r="A409" t="s">
        <v>451</v>
      </c>
      <c r="B409">
        <v>25</v>
      </c>
      <c r="C409">
        <v>16</v>
      </c>
      <c r="D409" s="13" t="str">
        <f>IFERROR(VLOOKUP(C409,[1]Sheet1!$A$1:$C$41,2,0),"Merchant Not Found")</f>
        <v>Merchant_016</v>
      </c>
      <c r="E409" s="7">
        <v>46042.90625</v>
      </c>
      <c r="F409">
        <v>299</v>
      </c>
      <c r="G409" s="8" t="s">
        <v>39</v>
      </c>
      <c r="H409" s="8" t="s">
        <v>40</v>
      </c>
      <c r="I409">
        <v>94</v>
      </c>
      <c r="J409" s="9">
        <f t="shared" si="12"/>
        <v>46042</v>
      </c>
      <c r="K409" s="10">
        <f>INDEX(Daily_Merchant_Pivot!$B$3:$AO$32,MATCH(J409,Daily_Merchant_Pivot!$A$3:$A$32,0),MATCH(C409,Daily_Merchant_Pivot!$B$2:$AO$2,0))</f>
        <v>448</v>
      </c>
      <c r="L409" s="3" t="str">
        <f>INDEX(Merchant_Region_Map!$D$3:$D$42,MATCH(C409,Merchant_Region_Map!$A$3:$A$42,0))</f>
        <v>West</v>
      </c>
      <c r="M409" s="11" t="str">
        <f t="shared" si="13"/>
        <v/>
      </c>
    </row>
    <row r="410" spans="1:13" x14ac:dyDescent="0.25">
      <c r="A410" t="s">
        <v>452</v>
      </c>
      <c r="B410">
        <v>120</v>
      </c>
      <c r="C410">
        <v>35</v>
      </c>
      <c r="D410" s="13" t="str">
        <f>IFERROR(VLOOKUP(C410,[1]Sheet1!$A$1:$C$41,2,0),"Merchant Not Found")</f>
        <v>Merchant_035</v>
      </c>
      <c r="E410" s="7">
        <v>46024.519444444399</v>
      </c>
      <c r="F410">
        <v>49</v>
      </c>
      <c r="G410" s="8" t="s">
        <v>39</v>
      </c>
      <c r="H410" s="8" t="s">
        <v>40</v>
      </c>
      <c r="I410">
        <v>27</v>
      </c>
      <c r="J410" s="9">
        <f t="shared" si="12"/>
        <v>46024</v>
      </c>
      <c r="K410" s="10">
        <f>INDEX(Daily_Merchant_Pivot!$B$3:$AO$32,MATCH(J410,Daily_Merchant_Pivot!$A$3:$A$32,0),MATCH(C410,Daily_Merchant_Pivot!$B$2:$AO$2,0))</f>
        <v>1548</v>
      </c>
      <c r="L410" s="3" t="str">
        <f>INDEX(Merchant_Region_Map!$D$3:$D$42,MATCH(C410,Merchant_Region_Map!$A$3:$A$42,0))</f>
        <v>East</v>
      </c>
      <c r="M410" s="11" t="str">
        <f t="shared" si="13"/>
        <v/>
      </c>
    </row>
    <row r="411" spans="1:13" x14ac:dyDescent="0.25">
      <c r="A411" t="s">
        <v>453</v>
      </c>
      <c r="B411">
        <v>258</v>
      </c>
      <c r="C411">
        <v>19</v>
      </c>
      <c r="D411" s="13" t="str">
        <f>IFERROR(VLOOKUP(C411,[1]Sheet1!$A$1:$C$41,2,0),"Merchant Not Found")</f>
        <v>Merchant_019</v>
      </c>
      <c r="E411" s="7">
        <v>46047.047222222202</v>
      </c>
      <c r="F411">
        <v>49</v>
      </c>
      <c r="G411" s="8" t="s">
        <v>42</v>
      </c>
      <c r="H411" s="8" t="s">
        <v>40</v>
      </c>
      <c r="I411">
        <v>29</v>
      </c>
      <c r="J411" s="9">
        <f t="shared" si="12"/>
        <v>46047</v>
      </c>
      <c r="K411" s="10">
        <f>INDEX(Daily_Merchant_Pivot!$B$3:$AO$32,MATCH(J411,Daily_Merchant_Pivot!$A$3:$A$32,0),MATCH(C411,Daily_Merchant_Pivot!$B$2:$AO$2,0))</f>
        <v>49</v>
      </c>
      <c r="L411" s="3" t="str">
        <f>INDEX(Merchant_Region_Map!$D$3:$D$42,MATCH(C411,Merchant_Region_Map!$A$3:$A$42,0))</f>
        <v>North</v>
      </c>
      <c r="M411" s="11" t="str">
        <f t="shared" si="13"/>
        <v/>
      </c>
    </row>
    <row r="412" spans="1:13" x14ac:dyDescent="0.25">
      <c r="A412" t="s">
        <v>454</v>
      </c>
      <c r="B412">
        <v>164</v>
      </c>
      <c r="C412">
        <v>37</v>
      </c>
      <c r="D412" s="13" t="str">
        <f>IFERROR(VLOOKUP(C412,[1]Sheet1!$A$1:$C$41,2,0),"Merchant Not Found")</f>
        <v>Merchant_037</v>
      </c>
      <c r="E412" s="7">
        <v>46049.983333333301</v>
      </c>
      <c r="F412">
        <v>799</v>
      </c>
      <c r="G412" s="8" t="s">
        <v>39</v>
      </c>
      <c r="H412" s="8" t="s">
        <v>40</v>
      </c>
      <c r="I412">
        <v>76</v>
      </c>
      <c r="J412" s="9">
        <f t="shared" si="12"/>
        <v>46049</v>
      </c>
      <c r="K412" s="10">
        <f>INDEX(Daily_Merchant_Pivot!$B$3:$AO$32,MATCH(J412,Daily_Merchant_Pivot!$A$3:$A$32,0),MATCH(C412,Daily_Merchant_Pivot!$B$2:$AO$2,0))</f>
        <v>799</v>
      </c>
      <c r="L412" s="3" t="str">
        <f>INDEX(Merchant_Region_Map!$D$3:$D$42,MATCH(C412,Merchant_Region_Map!$A$3:$A$42,0))</f>
        <v>South</v>
      </c>
      <c r="M412" s="11" t="str">
        <f t="shared" si="13"/>
        <v/>
      </c>
    </row>
    <row r="413" spans="1:13" x14ac:dyDescent="0.25">
      <c r="A413" t="s">
        <v>455</v>
      </c>
      <c r="B413">
        <v>165</v>
      </c>
      <c r="C413">
        <v>16</v>
      </c>
      <c r="D413" s="13" t="str">
        <f>IFERROR(VLOOKUP(C413,[1]Sheet1!$A$1:$C$41,2,0),"Merchant Not Found")</f>
        <v>Merchant_016</v>
      </c>
      <c r="E413" s="7">
        <v>46047.911111111098</v>
      </c>
      <c r="F413">
        <v>49</v>
      </c>
      <c r="G413" s="8" t="s">
        <v>42</v>
      </c>
      <c r="H413" s="8" t="s">
        <v>40</v>
      </c>
      <c r="I413">
        <v>38</v>
      </c>
      <c r="J413" s="9">
        <f t="shared" si="12"/>
        <v>46047</v>
      </c>
      <c r="K413" s="10">
        <f>INDEX(Daily_Merchant_Pivot!$B$3:$AO$32,MATCH(J413,Daily_Merchant_Pivot!$A$3:$A$32,0),MATCH(C413,Daily_Merchant_Pivot!$B$2:$AO$2,0))</f>
        <v>49</v>
      </c>
      <c r="L413" s="3" t="str">
        <f>INDEX(Merchant_Region_Map!$D$3:$D$42,MATCH(C413,Merchant_Region_Map!$A$3:$A$42,0))</f>
        <v>West</v>
      </c>
      <c r="M413" s="11" t="str">
        <f t="shared" si="13"/>
        <v/>
      </c>
    </row>
    <row r="414" spans="1:13" x14ac:dyDescent="0.25">
      <c r="A414" t="s">
        <v>456</v>
      </c>
      <c r="B414">
        <v>267</v>
      </c>
      <c r="C414">
        <v>15</v>
      </c>
      <c r="D414" s="13" t="str">
        <f>IFERROR(VLOOKUP(C414,[1]Sheet1!$A$1:$C$41,2,0),"Merchant Not Found")</f>
        <v>Merchant_015</v>
      </c>
      <c r="E414" s="7">
        <v>46051.195833333302</v>
      </c>
      <c r="F414">
        <v>49</v>
      </c>
      <c r="G414" s="8" t="s">
        <v>44</v>
      </c>
      <c r="H414" s="8" t="s">
        <v>40</v>
      </c>
      <c r="I414">
        <v>52</v>
      </c>
      <c r="J414" s="9">
        <f t="shared" si="12"/>
        <v>46051</v>
      </c>
      <c r="K414" s="10">
        <f>INDEX(Daily_Merchant_Pivot!$B$3:$AO$32,MATCH(J414,Daily_Merchant_Pivot!$A$3:$A$32,0),MATCH(C414,Daily_Merchant_Pivot!$B$2:$AO$2,0))</f>
        <v>98</v>
      </c>
      <c r="L414" s="3" t="str">
        <f>INDEX(Merchant_Region_Map!$D$3:$D$42,MATCH(C414,Merchant_Region_Map!$A$3:$A$42,0))</f>
        <v>North</v>
      </c>
      <c r="M414" s="11" t="str">
        <f t="shared" si="13"/>
        <v/>
      </c>
    </row>
    <row r="415" spans="1:13" x14ac:dyDescent="0.25">
      <c r="A415" t="s">
        <v>457</v>
      </c>
      <c r="B415">
        <v>286</v>
      </c>
      <c r="C415">
        <v>38</v>
      </c>
      <c r="D415" s="13" t="str">
        <f>IFERROR(VLOOKUP(C415,[1]Sheet1!$A$1:$C$41,2,0),"Merchant Not Found")</f>
        <v>Merchant_038</v>
      </c>
      <c r="E415" s="7">
        <v>46032.335416666698</v>
      </c>
      <c r="F415">
        <v>299</v>
      </c>
      <c r="G415" s="8" t="s">
        <v>42</v>
      </c>
      <c r="H415" s="8" t="s">
        <v>40</v>
      </c>
      <c r="I415">
        <v>94</v>
      </c>
      <c r="J415" s="9">
        <f t="shared" si="12"/>
        <v>46032</v>
      </c>
      <c r="K415" s="10">
        <f>INDEX(Daily_Merchant_Pivot!$B$3:$AO$32,MATCH(J415,Daily_Merchant_Pivot!$A$3:$A$32,0),MATCH(C415,Daily_Merchant_Pivot!$B$2:$AO$2,0))</f>
        <v>398</v>
      </c>
      <c r="L415" s="3" t="str">
        <f>INDEX(Merchant_Region_Map!$D$3:$D$42,MATCH(C415,Merchant_Region_Map!$A$3:$A$42,0))</f>
        <v>East</v>
      </c>
      <c r="M415" s="11" t="str">
        <f t="shared" si="13"/>
        <v/>
      </c>
    </row>
    <row r="416" spans="1:13" x14ac:dyDescent="0.25">
      <c r="A416" t="s">
        <v>458</v>
      </c>
      <c r="B416">
        <v>348</v>
      </c>
      <c r="C416">
        <v>28</v>
      </c>
      <c r="D416" s="13" t="str">
        <f>IFERROR(VLOOKUP(C416,[1]Sheet1!$A$1:$C$41,2,0),"Merchant Not Found")</f>
        <v>Merchant_028</v>
      </c>
      <c r="E416" s="7">
        <v>46052.236111111102</v>
      </c>
      <c r="F416">
        <v>499</v>
      </c>
      <c r="G416" s="8" t="s">
        <v>52</v>
      </c>
      <c r="H416" s="8" t="s">
        <v>40</v>
      </c>
      <c r="I416">
        <v>71</v>
      </c>
      <c r="J416" s="9">
        <f t="shared" si="12"/>
        <v>46052</v>
      </c>
      <c r="K416" s="10">
        <f>INDEX(Daily_Merchant_Pivot!$B$3:$AO$32,MATCH(J416,Daily_Merchant_Pivot!$A$3:$A$32,0),MATCH(C416,Daily_Merchant_Pivot!$B$2:$AO$2,0))</f>
        <v>499</v>
      </c>
      <c r="L416" s="3" t="str">
        <f>INDEX(Merchant_Region_Map!$D$3:$D$42,MATCH(C416,Merchant_Region_Map!$A$3:$A$42,0))</f>
        <v>South</v>
      </c>
      <c r="M416" s="11" t="str">
        <f t="shared" si="13"/>
        <v/>
      </c>
    </row>
    <row r="417" spans="1:13" x14ac:dyDescent="0.25">
      <c r="A417" t="s">
        <v>459</v>
      </c>
      <c r="B417">
        <v>330</v>
      </c>
      <c r="C417">
        <v>25</v>
      </c>
      <c r="D417" s="13" t="str">
        <f>IFERROR(VLOOKUP(C417,[1]Sheet1!$A$1:$C$41,2,0),"Merchant Not Found")</f>
        <v>Merchant_025</v>
      </c>
      <c r="E417" s="7">
        <v>46038.056944444397</v>
      </c>
      <c r="F417">
        <v>799</v>
      </c>
      <c r="G417" s="8" t="s">
        <v>39</v>
      </c>
      <c r="H417" s="8" t="s">
        <v>40</v>
      </c>
      <c r="I417">
        <v>100</v>
      </c>
      <c r="J417" s="9">
        <f t="shared" si="12"/>
        <v>46038</v>
      </c>
      <c r="K417" s="10">
        <f>INDEX(Daily_Merchant_Pivot!$B$3:$AO$32,MATCH(J417,Daily_Merchant_Pivot!$A$3:$A$32,0),MATCH(C417,Daily_Merchant_Pivot!$B$2:$AO$2,0))</f>
        <v>799</v>
      </c>
      <c r="L417" s="3" t="str">
        <f>INDEX(Merchant_Region_Map!$D$3:$D$42,MATCH(C417,Merchant_Region_Map!$A$3:$A$42,0))</f>
        <v>South</v>
      </c>
      <c r="M417" s="11" t="str">
        <f t="shared" si="13"/>
        <v/>
      </c>
    </row>
    <row r="418" spans="1:13" x14ac:dyDescent="0.25">
      <c r="A418" t="s">
        <v>460</v>
      </c>
      <c r="B418">
        <v>214</v>
      </c>
      <c r="C418">
        <v>27</v>
      </c>
      <c r="D418" s="13" t="str">
        <f>IFERROR(VLOOKUP(C418,[1]Sheet1!$A$1:$C$41,2,0),"Merchant Not Found")</f>
        <v>Merchant_027</v>
      </c>
      <c r="E418" s="7">
        <v>46039.447222222203</v>
      </c>
      <c r="F418">
        <v>299</v>
      </c>
      <c r="G418" s="8" t="s">
        <v>52</v>
      </c>
      <c r="H418" s="8" t="s">
        <v>40</v>
      </c>
      <c r="I418">
        <v>19</v>
      </c>
      <c r="J418" s="9">
        <f t="shared" si="12"/>
        <v>46039</v>
      </c>
      <c r="K418" s="10">
        <f>INDEX(Daily_Merchant_Pivot!$B$3:$AO$32,MATCH(J418,Daily_Merchant_Pivot!$A$3:$A$32,0),MATCH(C418,Daily_Merchant_Pivot!$B$2:$AO$2,0))</f>
        <v>798</v>
      </c>
      <c r="L418" s="3" t="str">
        <f>INDEX(Merchant_Region_Map!$D$3:$D$42,MATCH(C418,Merchant_Region_Map!$A$3:$A$42,0))</f>
        <v>North</v>
      </c>
      <c r="M418" s="11" t="str">
        <f t="shared" si="13"/>
        <v/>
      </c>
    </row>
    <row r="419" spans="1:13" x14ac:dyDescent="0.25">
      <c r="A419" t="s">
        <v>461</v>
      </c>
      <c r="B419">
        <v>276</v>
      </c>
      <c r="C419">
        <v>31</v>
      </c>
      <c r="D419" s="13" t="str">
        <f>IFERROR(VLOOKUP(C419,[1]Sheet1!$A$1:$C$41,2,0),"Merchant Not Found")</f>
        <v>Merchant_031</v>
      </c>
      <c r="E419" s="7">
        <v>46032.507638888899</v>
      </c>
      <c r="F419">
        <v>499</v>
      </c>
      <c r="G419" s="8" t="s">
        <v>39</v>
      </c>
      <c r="H419" s="8" t="s">
        <v>40</v>
      </c>
      <c r="I419">
        <v>30</v>
      </c>
      <c r="J419" s="9">
        <f t="shared" si="12"/>
        <v>46032</v>
      </c>
      <c r="K419" s="10">
        <f>INDEX(Daily_Merchant_Pivot!$B$3:$AO$32,MATCH(J419,Daily_Merchant_Pivot!$A$3:$A$32,0),MATCH(C419,Daily_Merchant_Pivot!$B$2:$AO$2,0))</f>
        <v>499</v>
      </c>
      <c r="L419" s="3" t="str">
        <f>INDEX(Merchant_Region_Map!$D$3:$D$42,MATCH(C419,Merchant_Region_Map!$A$3:$A$42,0))</f>
        <v>East</v>
      </c>
      <c r="M419" s="11" t="str">
        <f t="shared" si="13"/>
        <v/>
      </c>
    </row>
    <row r="420" spans="1:13" x14ac:dyDescent="0.25">
      <c r="A420" t="s">
        <v>462</v>
      </c>
      <c r="B420">
        <v>74</v>
      </c>
      <c r="C420">
        <v>30</v>
      </c>
      <c r="D420" s="13" t="str">
        <f>IFERROR(VLOOKUP(C420,[1]Sheet1!$A$1:$C$41,2,0),"Merchant Not Found")</f>
        <v>Merchant_030</v>
      </c>
      <c r="E420" s="7">
        <v>46050.304861111101</v>
      </c>
      <c r="F420">
        <v>49</v>
      </c>
      <c r="G420" s="8" t="s">
        <v>39</v>
      </c>
      <c r="H420" s="8" t="s">
        <v>40</v>
      </c>
      <c r="I420">
        <v>7</v>
      </c>
      <c r="J420" s="9">
        <f t="shared" si="12"/>
        <v>46050</v>
      </c>
      <c r="K420" s="10">
        <f>INDEX(Daily_Merchant_Pivot!$B$3:$AO$32,MATCH(J420,Daily_Merchant_Pivot!$A$3:$A$32,0),MATCH(C420,Daily_Merchant_Pivot!$B$2:$AO$2,0))</f>
        <v>49</v>
      </c>
      <c r="L420" s="3" t="str">
        <f>INDEX(Merchant_Region_Map!$D$3:$D$42,MATCH(C420,Merchant_Region_Map!$A$3:$A$42,0))</f>
        <v>West</v>
      </c>
      <c r="M420" s="11" t="str">
        <f t="shared" si="13"/>
        <v/>
      </c>
    </row>
    <row r="421" spans="1:13" x14ac:dyDescent="0.25">
      <c r="A421" t="s">
        <v>463</v>
      </c>
      <c r="B421">
        <v>286</v>
      </c>
      <c r="C421">
        <v>34</v>
      </c>
      <c r="D421" s="13" t="str">
        <f>IFERROR(VLOOKUP(C421,[1]Sheet1!$A$1:$C$41,2,0),"Merchant Not Found")</f>
        <v>Merchant_034</v>
      </c>
      <c r="E421" s="7">
        <v>46040.559722222199</v>
      </c>
      <c r="F421">
        <v>49</v>
      </c>
      <c r="G421" s="8" t="s">
        <v>52</v>
      </c>
      <c r="H421" s="8" t="s">
        <v>40</v>
      </c>
      <c r="I421">
        <v>17</v>
      </c>
      <c r="J421" s="9">
        <f t="shared" si="12"/>
        <v>46040</v>
      </c>
      <c r="K421" s="10">
        <f>INDEX(Daily_Merchant_Pivot!$B$3:$AO$32,MATCH(J421,Daily_Merchant_Pivot!$A$3:$A$32,0),MATCH(C421,Daily_Merchant_Pivot!$B$2:$AO$2,0))</f>
        <v>148</v>
      </c>
      <c r="L421" s="3" t="str">
        <f>INDEX(Merchant_Region_Map!$D$3:$D$42,MATCH(C421,Merchant_Region_Map!$A$3:$A$42,0))</f>
        <v>South</v>
      </c>
      <c r="M421" s="11" t="str">
        <f t="shared" si="13"/>
        <v/>
      </c>
    </row>
    <row r="422" spans="1:13" x14ac:dyDescent="0.25">
      <c r="A422" t="s">
        <v>464</v>
      </c>
      <c r="B422">
        <v>105</v>
      </c>
      <c r="C422">
        <v>22</v>
      </c>
      <c r="D422" s="13" t="str">
        <f>IFERROR(VLOOKUP(C422,[1]Sheet1!$A$1:$C$41,2,0),"Merchant Not Found")</f>
        <v>Merchant_022</v>
      </c>
      <c r="E422" s="7">
        <v>46035.302777777797</v>
      </c>
      <c r="F422">
        <v>4999</v>
      </c>
      <c r="G422" s="8" t="s">
        <v>39</v>
      </c>
      <c r="H422" s="8" t="s">
        <v>40</v>
      </c>
      <c r="I422">
        <v>82</v>
      </c>
      <c r="J422" s="9">
        <f t="shared" si="12"/>
        <v>46035</v>
      </c>
      <c r="K422" s="10">
        <f>INDEX(Daily_Merchant_Pivot!$B$3:$AO$32,MATCH(J422,Daily_Merchant_Pivot!$A$3:$A$32,0),MATCH(C422,Daily_Merchant_Pivot!$B$2:$AO$2,0))</f>
        <v>4999</v>
      </c>
      <c r="L422" s="3" t="str">
        <f>INDEX(Merchant_Region_Map!$D$3:$D$42,MATCH(C422,Merchant_Region_Map!$A$3:$A$42,0))</f>
        <v>South</v>
      </c>
      <c r="M422" s="11" t="str">
        <f t="shared" si="13"/>
        <v/>
      </c>
    </row>
    <row r="423" spans="1:13" x14ac:dyDescent="0.25">
      <c r="A423" t="s">
        <v>465</v>
      </c>
      <c r="B423">
        <v>190</v>
      </c>
      <c r="C423">
        <v>6</v>
      </c>
      <c r="D423" s="13" t="str">
        <f>IFERROR(VLOOKUP(C423,[1]Sheet1!$A$1:$C$41,2,0),"Merchant Not Found")</f>
        <v>Merchant_006</v>
      </c>
      <c r="E423" s="7">
        <v>46025.620833333298</v>
      </c>
      <c r="F423">
        <v>799</v>
      </c>
      <c r="G423" s="8" t="s">
        <v>42</v>
      </c>
      <c r="H423" s="8" t="s">
        <v>40</v>
      </c>
      <c r="I423">
        <v>68</v>
      </c>
      <c r="J423" s="9">
        <f t="shared" si="12"/>
        <v>46025</v>
      </c>
      <c r="K423" s="10">
        <f>INDEX(Daily_Merchant_Pivot!$B$3:$AO$32,MATCH(J423,Daily_Merchant_Pivot!$A$3:$A$32,0),MATCH(C423,Daily_Merchant_Pivot!$B$2:$AO$2,0))</f>
        <v>799</v>
      </c>
      <c r="L423" s="3" t="str">
        <f>INDEX(Merchant_Region_Map!$D$3:$D$42,MATCH(C423,Merchant_Region_Map!$A$3:$A$42,0))</f>
        <v>South</v>
      </c>
      <c r="M423" s="11" t="str">
        <f t="shared" si="13"/>
        <v/>
      </c>
    </row>
    <row r="424" spans="1:13" x14ac:dyDescent="0.25">
      <c r="A424" t="s">
        <v>466</v>
      </c>
      <c r="B424">
        <v>138</v>
      </c>
      <c r="C424">
        <v>25</v>
      </c>
      <c r="D424" s="13" t="str">
        <f>IFERROR(VLOOKUP(C424,[1]Sheet1!$A$1:$C$41,2,0),"Merchant Not Found")</f>
        <v>Merchant_025</v>
      </c>
      <c r="E424" s="7">
        <v>46046.252083333296</v>
      </c>
      <c r="F424">
        <v>299</v>
      </c>
      <c r="G424" s="8" t="s">
        <v>42</v>
      </c>
      <c r="H424" s="8" t="s">
        <v>40</v>
      </c>
      <c r="I424">
        <v>86</v>
      </c>
      <c r="J424" s="9">
        <f t="shared" si="12"/>
        <v>46046</v>
      </c>
      <c r="K424" s="10">
        <f>INDEX(Daily_Merchant_Pivot!$B$3:$AO$32,MATCH(J424,Daily_Merchant_Pivot!$A$3:$A$32,0),MATCH(C424,Daily_Merchant_Pivot!$B$2:$AO$2,0))</f>
        <v>497</v>
      </c>
      <c r="L424" s="3" t="str">
        <f>INDEX(Merchant_Region_Map!$D$3:$D$42,MATCH(C424,Merchant_Region_Map!$A$3:$A$42,0))</f>
        <v>South</v>
      </c>
      <c r="M424" s="11" t="str">
        <f t="shared" si="13"/>
        <v/>
      </c>
    </row>
    <row r="425" spans="1:13" x14ac:dyDescent="0.25">
      <c r="A425" t="s">
        <v>467</v>
      </c>
      <c r="B425">
        <v>38</v>
      </c>
      <c r="C425">
        <v>13</v>
      </c>
      <c r="D425" s="13" t="str">
        <f>IFERROR(VLOOKUP(C425,[1]Sheet1!$A$1:$C$41,2,0),"Merchant Not Found")</f>
        <v>Merchant_013</v>
      </c>
      <c r="E425" s="7">
        <v>46042.793055555601</v>
      </c>
      <c r="F425">
        <v>4999</v>
      </c>
      <c r="G425" s="8" t="s">
        <v>44</v>
      </c>
      <c r="H425" s="8" t="s">
        <v>40</v>
      </c>
      <c r="I425">
        <v>97</v>
      </c>
      <c r="J425" s="9">
        <f t="shared" si="12"/>
        <v>46042</v>
      </c>
      <c r="K425" s="10">
        <f>INDEX(Daily_Merchant_Pivot!$B$3:$AO$32,MATCH(J425,Daily_Merchant_Pivot!$A$3:$A$32,0),MATCH(C425,Daily_Merchant_Pivot!$B$2:$AO$2,0))</f>
        <v>4999</v>
      </c>
      <c r="L425" s="3" t="str">
        <f>INDEX(Merchant_Region_Map!$D$3:$D$42,MATCH(C425,Merchant_Region_Map!$A$3:$A$42,0))</f>
        <v>East</v>
      </c>
      <c r="M425" s="11" t="str">
        <f t="shared" si="13"/>
        <v/>
      </c>
    </row>
    <row r="426" spans="1:13" x14ac:dyDescent="0.25">
      <c r="A426" t="s">
        <v>468</v>
      </c>
      <c r="B426">
        <v>287</v>
      </c>
      <c r="C426">
        <v>14</v>
      </c>
      <c r="D426" s="13" t="str">
        <f>IFERROR(VLOOKUP(C426,[1]Sheet1!$A$1:$C$41,2,0),"Merchant Not Found")</f>
        <v>Merchant_014</v>
      </c>
      <c r="E426" s="7">
        <v>46041.987500000003</v>
      </c>
      <c r="F426">
        <v>99</v>
      </c>
      <c r="G426" s="8" t="s">
        <v>42</v>
      </c>
      <c r="H426" s="8" t="s">
        <v>40</v>
      </c>
      <c r="I426">
        <v>61</v>
      </c>
      <c r="J426" s="9">
        <f t="shared" si="12"/>
        <v>46041</v>
      </c>
      <c r="K426" s="10">
        <f>INDEX(Daily_Merchant_Pivot!$B$3:$AO$32,MATCH(J426,Daily_Merchant_Pivot!$A$3:$A$32,0),MATCH(C426,Daily_Merchant_Pivot!$B$2:$AO$2,0))</f>
        <v>99</v>
      </c>
      <c r="L426" s="3" t="str">
        <f>INDEX(Merchant_Region_Map!$D$3:$D$42,MATCH(C426,Merchant_Region_Map!$A$3:$A$42,0))</f>
        <v>East</v>
      </c>
      <c r="M426" s="11" t="str">
        <f t="shared" si="13"/>
        <v/>
      </c>
    </row>
    <row r="427" spans="1:13" x14ac:dyDescent="0.25">
      <c r="A427" t="s">
        <v>469</v>
      </c>
      <c r="B427">
        <v>8</v>
      </c>
      <c r="C427">
        <v>14</v>
      </c>
      <c r="D427" s="13" t="str">
        <f>IFERROR(VLOOKUP(C427,[1]Sheet1!$A$1:$C$41,2,0),"Merchant Not Found")</f>
        <v>Merchant_014</v>
      </c>
      <c r="E427" s="7">
        <v>46029.429861111101</v>
      </c>
      <c r="F427">
        <v>49</v>
      </c>
      <c r="G427" s="8" t="s">
        <v>39</v>
      </c>
      <c r="H427" s="8" t="s">
        <v>40</v>
      </c>
      <c r="I427">
        <v>24</v>
      </c>
      <c r="J427" s="9">
        <f t="shared" si="12"/>
        <v>46029</v>
      </c>
      <c r="K427" s="10">
        <f>INDEX(Daily_Merchant_Pivot!$B$3:$AO$32,MATCH(J427,Daily_Merchant_Pivot!$A$3:$A$32,0),MATCH(C427,Daily_Merchant_Pivot!$B$2:$AO$2,0))</f>
        <v>49</v>
      </c>
      <c r="L427" s="3" t="str">
        <f>INDEX(Merchant_Region_Map!$D$3:$D$42,MATCH(C427,Merchant_Region_Map!$A$3:$A$42,0))</f>
        <v>East</v>
      </c>
      <c r="M427" s="11" t="str">
        <f t="shared" si="13"/>
        <v/>
      </c>
    </row>
    <row r="428" spans="1:13" x14ac:dyDescent="0.25">
      <c r="A428" t="s">
        <v>470</v>
      </c>
      <c r="B428">
        <v>246</v>
      </c>
      <c r="C428">
        <v>16</v>
      </c>
      <c r="D428" s="13" t="str">
        <f>IFERROR(VLOOKUP(C428,[1]Sheet1!$A$1:$C$41,2,0),"Merchant Not Found")</f>
        <v>Merchant_016</v>
      </c>
      <c r="E428" s="7">
        <v>46046.157638888901</v>
      </c>
      <c r="F428">
        <v>1499</v>
      </c>
      <c r="G428" s="8" t="s">
        <v>42</v>
      </c>
      <c r="H428" s="8" t="s">
        <v>40</v>
      </c>
      <c r="I428">
        <v>89</v>
      </c>
      <c r="J428" s="9">
        <f t="shared" si="12"/>
        <v>46046</v>
      </c>
      <c r="K428" s="10">
        <f>INDEX(Daily_Merchant_Pivot!$B$3:$AO$32,MATCH(J428,Daily_Merchant_Pivot!$A$3:$A$32,0),MATCH(C428,Daily_Merchant_Pivot!$B$2:$AO$2,0))</f>
        <v>1499</v>
      </c>
      <c r="L428" s="3" t="str">
        <f>INDEX(Merchant_Region_Map!$D$3:$D$42,MATCH(C428,Merchant_Region_Map!$A$3:$A$42,0))</f>
        <v>West</v>
      </c>
      <c r="M428" s="11" t="str">
        <f t="shared" si="13"/>
        <v/>
      </c>
    </row>
    <row r="429" spans="1:13" x14ac:dyDescent="0.25">
      <c r="A429" t="s">
        <v>471</v>
      </c>
      <c r="B429">
        <v>204</v>
      </c>
      <c r="C429">
        <v>16</v>
      </c>
      <c r="D429" s="13" t="str">
        <f>IFERROR(VLOOKUP(C429,[1]Sheet1!$A$1:$C$41,2,0),"Merchant Not Found")</f>
        <v>Merchant_016</v>
      </c>
      <c r="E429" s="7">
        <v>46042.925694444399</v>
      </c>
      <c r="F429">
        <v>149</v>
      </c>
      <c r="G429" s="8" t="s">
        <v>39</v>
      </c>
      <c r="H429" s="8" t="s">
        <v>40</v>
      </c>
      <c r="I429">
        <v>70</v>
      </c>
      <c r="J429" s="9">
        <f t="shared" si="12"/>
        <v>46042</v>
      </c>
      <c r="K429" s="10">
        <f>INDEX(Daily_Merchant_Pivot!$B$3:$AO$32,MATCH(J429,Daily_Merchant_Pivot!$A$3:$A$32,0),MATCH(C429,Daily_Merchant_Pivot!$B$2:$AO$2,0))</f>
        <v>448</v>
      </c>
      <c r="L429" s="3" t="str">
        <f>INDEX(Merchant_Region_Map!$D$3:$D$42,MATCH(C429,Merchant_Region_Map!$A$3:$A$42,0))</f>
        <v>West</v>
      </c>
      <c r="M429" s="11" t="str">
        <f t="shared" si="13"/>
        <v/>
      </c>
    </row>
    <row r="430" spans="1:13" x14ac:dyDescent="0.25">
      <c r="A430" t="s">
        <v>472</v>
      </c>
      <c r="B430">
        <v>239</v>
      </c>
      <c r="C430">
        <v>35</v>
      </c>
      <c r="D430" s="13" t="str">
        <f>IFERROR(VLOOKUP(C430,[1]Sheet1!$A$1:$C$41,2,0),"Merchant Not Found")</f>
        <v>Merchant_035</v>
      </c>
      <c r="E430" s="7">
        <v>46033.391666666699</v>
      </c>
      <c r="F430">
        <v>4999</v>
      </c>
      <c r="G430" s="8" t="s">
        <v>39</v>
      </c>
      <c r="H430" s="8" t="s">
        <v>40</v>
      </c>
      <c r="I430">
        <v>83</v>
      </c>
      <c r="J430" s="9">
        <f t="shared" si="12"/>
        <v>46033</v>
      </c>
      <c r="K430" s="10">
        <f>INDEX(Daily_Merchant_Pivot!$B$3:$AO$32,MATCH(J430,Daily_Merchant_Pivot!$A$3:$A$32,0),MATCH(C430,Daily_Merchant_Pivot!$B$2:$AO$2,0))</f>
        <v>4999</v>
      </c>
      <c r="L430" s="3" t="str">
        <f>INDEX(Merchant_Region_Map!$D$3:$D$42,MATCH(C430,Merchant_Region_Map!$A$3:$A$42,0))</f>
        <v>East</v>
      </c>
      <c r="M430" s="11" t="str">
        <f t="shared" si="13"/>
        <v/>
      </c>
    </row>
    <row r="431" spans="1:13" x14ac:dyDescent="0.25">
      <c r="A431" t="s">
        <v>473</v>
      </c>
      <c r="B431">
        <v>185</v>
      </c>
      <c r="C431">
        <v>33</v>
      </c>
      <c r="D431" s="13" t="str">
        <f>IFERROR(VLOOKUP(C431,[1]Sheet1!$A$1:$C$41,2,0),"Merchant Not Found")</f>
        <v>Merchant_033</v>
      </c>
      <c r="E431" s="7">
        <v>46034.386111111096</v>
      </c>
      <c r="F431">
        <v>299</v>
      </c>
      <c r="G431" s="8" t="s">
        <v>39</v>
      </c>
      <c r="H431" s="8" t="s">
        <v>40</v>
      </c>
      <c r="I431">
        <v>63</v>
      </c>
      <c r="J431" s="9">
        <f t="shared" si="12"/>
        <v>46034</v>
      </c>
      <c r="K431" s="10">
        <f>INDEX(Daily_Merchant_Pivot!$B$3:$AO$32,MATCH(J431,Daily_Merchant_Pivot!$A$3:$A$32,0),MATCH(C431,Daily_Merchant_Pivot!$B$2:$AO$2,0))</f>
        <v>299</v>
      </c>
      <c r="L431" s="3" t="str">
        <f>INDEX(Merchant_Region_Map!$D$3:$D$42,MATCH(C431,Merchant_Region_Map!$A$3:$A$42,0))</f>
        <v>East</v>
      </c>
      <c r="M431" s="11" t="str">
        <f t="shared" si="13"/>
        <v/>
      </c>
    </row>
    <row r="432" spans="1:13" x14ac:dyDescent="0.25">
      <c r="A432" t="s">
        <v>474</v>
      </c>
      <c r="B432">
        <v>241</v>
      </c>
      <c r="C432">
        <v>21</v>
      </c>
      <c r="D432" s="13" t="str">
        <f>IFERROR(VLOOKUP(C432,[1]Sheet1!$A$1:$C$41,2,0),"Merchant Not Found")</f>
        <v>Merchant_021</v>
      </c>
      <c r="E432" s="7">
        <v>46037.160416666702</v>
      </c>
      <c r="F432">
        <v>299</v>
      </c>
      <c r="G432" s="8" t="s">
        <v>52</v>
      </c>
      <c r="H432" s="8" t="s">
        <v>40</v>
      </c>
      <c r="I432">
        <v>26</v>
      </c>
      <c r="J432" s="9">
        <f t="shared" si="12"/>
        <v>46037</v>
      </c>
      <c r="K432" s="10">
        <f>INDEX(Daily_Merchant_Pivot!$B$3:$AO$32,MATCH(J432,Daily_Merchant_Pivot!$A$3:$A$32,0),MATCH(C432,Daily_Merchant_Pivot!$B$2:$AO$2,0))</f>
        <v>299</v>
      </c>
      <c r="L432" s="3" t="str">
        <f>INDEX(Merchant_Region_Map!$D$3:$D$42,MATCH(C432,Merchant_Region_Map!$A$3:$A$42,0))</f>
        <v>East</v>
      </c>
      <c r="M432" s="11" t="str">
        <f t="shared" si="13"/>
        <v/>
      </c>
    </row>
    <row r="433" spans="1:13" x14ac:dyDescent="0.25">
      <c r="A433" t="s">
        <v>475</v>
      </c>
      <c r="B433">
        <v>24</v>
      </c>
      <c r="C433">
        <v>37</v>
      </c>
      <c r="D433" s="13" t="str">
        <f>IFERROR(VLOOKUP(C433,[1]Sheet1!$A$1:$C$41,2,0),"Merchant Not Found")</f>
        <v>Merchant_037</v>
      </c>
      <c r="E433" s="7">
        <v>46034.434722222199</v>
      </c>
      <c r="F433">
        <v>149</v>
      </c>
      <c r="G433" s="8" t="s">
        <v>39</v>
      </c>
      <c r="H433" s="8" t="s">
        <v>40</v>
      </c>
      <c r="I433">
        <v>28</v>
      </c>
      <c r="J433" s="9">
        <f t="shared" si="12"/>
        <v>46034</v>
      </c>
      <c r="K433" s="10">
        <f>INDEX(Daily_Merchant_Pivot!$B$3:$AO$32,MATCH(J433,Daily_Merchant_Pivot!$A$3:$A$32,0),MATCH(C433,Daily_Merchant_Pivot!$B$2:$AO$2,0))</f>
        <v>149</v>
      </c>
      <c r="L433" s="3" t="str">
        <f>INDEX(Merchant_Region_Map!$D$3:$D$42,MATCH(C433,Merchant_Region_Map!$A$3:$A$42,0))</f>
        <v>South</v>
      </c>
      <c r="M433" s="11" t="str">
        <f t="shared" si="13"/>
        <v/>
      </c>
    </row>
    <row r="434" spans="1:13" x14ac:dyDescent="0.25">
      <c r="A434" t="s">
        <v>476</v>
      </c>
      <c r="B434">
        <v>134</v>
      </c>
      <c r="C434">
        <v>36</v>
      </c>
      <c r="D434" s="13" t="str">
        <f>IFERROR(VLOOKUP(C434,[1]Sheet1!$A$1:$C$41,2,0),"Merchant Not Found")</f>
        <v>Merchant_036</v>
      </c>
      <c r="E434" s="7">
        <v>46046.167361111096</v>
      </c>
      <c r="F434">
        <v>1499</v>
      </c>
      <c r="G434" s="8" t="s">
        <v>39</v>
      </c>
      <c r="H434" s="8" t="s">
        <v>40</v>
      </c>
      <c r="I434">
        <v>74</v>
      </c>
      <c r="J434" s="9">
        <f t="shared" si="12"/>
        <v>46046</v>
      </c>
      <c r="K434" s="10">
        <f>INDEX(Daily_Merchant_Pivot!$B$3:$AO$32,MATCH(J434,Daily_Merchant_Pivot!$A$3:$A$32,0),MATCH(C434,Daily_Merchant_Pivot!$B$2:$AO$2,0))</f>
        <v>1647</v>
      </c>
      <c r="L434" s="3" t="str">
        <f>INDEX(Merchant_Region_Map!$D$3:$D$42,MATCH(C434,Merchant_Region_Map!$A$3:$A$42,0))</f>
        <v>East</v>
      </c>
      <c r="M434" s="11" t="str">
        <f t="shared" si="13"/>
        <v/>
      </c>
    </row>
    <row r="435" spans="1:13" x14ac:dyDescent="0.25">
      <c r="A435" t="s">
        <v>477</v>
      </c>
      <c r="B435">
        <v>152</v>
      </c>
      <c r="C435">
        <v>10</v>
      </c>
      <c r="D435" s="13" t="str">
        <f>IFERROR(VLOOKUP(C435,[1]Sheet1!$A$1:$C$41,2,0),"Merchant Not Found")</f>
        <v>Merchant_010</v>
      </c>
      <c r="E435" s="7">
        <v>46041.976388888899</v>
      </c>
      <c r="F435">
        <v>499</v>
      </c>
      <c r="G435" s="8" t="s">
        <v>42</v>
      </c>
      <c r="H435" s="8" t="s">
        <v>40</v>
      </c>
      <c r="I435">
        <v>25</v>
      </c>
      <c r="J435" s="9">
        <f t="shared" si="12"/>
        <v>46041</v>
      </c>
      <c r="K435" s="10">
        <f>INDEX(Daily_Merchant_Pivot!$B$3:$AO$32,MATCH(J435,Daily_Merchant_Pivot!$A$3:$A$32,0),MATCH(C435,Daily_Merchant_Pivot!$B$2:$AO$2,0))</f>
        <v>499</v>
      </c>
      <c r="L435" s="3" t="str">
        <f>INDEX(Merchant_Region_Map!$D$3:$D$42,MATCH(C435,Merchant_Region_Map!$A$3:$A$42,0))</f>
        <v>West</v>
      </c>
      <c r="M435" s="11" t="str">
        <f t="shared" si="13"/>
        <v/>
      </c>
    </row>
    <row r="436" spans="1:13" x14ac:dyDescent="0.25">
      <c r="A436" t="s">
        <v>478</v>
      </c>
      <c r="B436">
        <v>292</v>
      </c>
      <c r="C436">
        <v>16</v>
      </c>
      <c r="D436" s="13" t="str">
        <f>IFERROR(VLOOKUP(C436,[1]Sheet1!$A$1:$C$41,2,0),"Merchant Not Found")</f>
        <v>Merchant_016</v>
      </c>
      <c r="E436" s="7">
        <v>46033.308333333298</v>
      </c>
      <c r="F436">
        <v>499</v>
      </c>
      <c r="G436" s="8" t="s">
        <v>44</v>
      </c>
      <c r="H436" s="8" t="s">
        <v>40</v>
      </c>
      <c r="I436">
        <v>63</v>
      </c>
      <c r="J436" s="9">
        <f t="shared" si="12"/>
        <v>46033</v>
      </c>
      <c r="K436" s="10">
        <f>INDEX(Daily_Merchant_Pivot!$B$3:$AO$32,MATCH(J436,Daily_Merchant_Pivot!$A$3:$A$32,0),MATCH(C436,Daily_Merchant_Pivot!$B$2:$AO$2,0))</f>
        <v>499</v>
      </c>
      <c r="L436" s="3" t="str">
        <f>INDEX(Merchant_Region_Map!$D$3:$D$42,MATCH(C436,Merchant_Region_Map!$A$3:$A$42,0))</f>
        <v>West</v>
      </c>
      <c r="M436" s="11" t="str">
        <f t="shared" si="13"/>
        <v/>
      </c>
    </row>
    <row r="437" spans="1:13" x14ac:dyDescent="0.25">
      <c r="A437" t="s">
        <v>479</v>
      </c>
      <c r="B437">
        <v>173</v>
      </c>
      <c r="C437">
        <v>17</v>
      </c>
      <c r="D437" s="13" t="str">
        <f>IFERROR(VLOOKUP(C437,[1]Sheet1!$A$1:$C$41,2,0),"Merchant Not Found")</f>
        <v>Merchant_017</v>
      </c>
      <c r="E437" s="7">
        <v>46040.863194444399</v>
      </c>
      <c r="F437">
        <v>99</v>
      </c>
      <c r="G437" s="8" t="s">
        <v>44</v>
      </c>
      <c r="H437" s="8" t="s">
        <v>40</v>
      </c>
      <c r="I437">
        <v>97</v>
      </c>
      <c r="J437" s="9">
        <f t="shared" si="12"/>
        <v>46040</v>
      </c>
      <c r="K437" s="10">
        <f>INDEX(Daily_Merchant_Pivot!$B$3:$AO$32,MATCH(J437,Daily_Merchant_Pivot!$A$3:$A$32,0),MATCH(C437,Daily_Merchant_Pivot!$B$2:$AO$2,0))</f>
        <v>198</v>
      </c>
      <c r="L437" s="3" t="str">
        <f>INDEX(Merchant_Region_Map!$D$3:$D$42,MATCH(C437,Merchant_Region_Map!$A$3:$A$42,0))</f>
        <v>North</v>
      </c>
      <c r="M437" s="11" t="str">
        <f t="shared" si="13"/>
        <v/>
      </c>
    </row>
    <row r="438" spans="1:13" x14ac:dyDescent="0.25">
      <c r="A438" t="s">
        <v>480</v>
      </c>
      <c r="B438">
        <v>329</v>
      </c>
      <c r="C438">
        <v>32</v>
      </c>
      <c r="D438" s="13" t="str">
        <f>IFERROR(VLOOKUP(C438,[1]Sheet1!$A$1:$C$41,2,0),"Merchant Not Found")</f>
        <v>Merchant_032</v>
      </c>
      <c r="E438" s="7">
        <v>46049.656944444498</v>
      </c>
      <c r="F438">
        <v>1499</v>
      </c>
      <c r="G438" s="8" t="s">
        <v>39</v>
      </c>
      <c r="H438" s="8" t="s">
        <v>40</v>
      </c>
      <c r="I438">
        <v>58</v>
      </c>
      <c r="J438" s="9">
        <f t="shared" si="12"/>
        <v>46049</v>
      </c>
      <c r="K438" s="10">
        <f>INDEX(Daily_Merchant_Pivot!$B$3:$AO$32,MATCH(J438,Daily_Merchant_Pivot!$A$3:$A$32,0),MATCH(C438,Daily_Merchant_Pivot!$B$2:$AO$2,0))</f>
        <v>1499</v>
      </c>
      <c r="L438" s="3" t="str">
        <f>INDEX(Merchant_Region_Map!$D$3:$D$42,MATCH(C438,Merchant_Region_Map!$A$3:$A$42,0))</f>
        <v>West</v>
      </c>
      <c r="M438" s="11" t="str">
        <f t="shared" si="13"/>
        <v/>
      </c>
    </row>
    <row r="439" spans="1:13" x14ac:dyDescent="0.25">
      <c r="A439" t="s">
        <v>481</v>
      </c>
      <c r="B439">
        <v>181</v>
      </c>
      <c r="C439">
        <v>11</v>
      </c>
      <c r="D439" s="13" t="str">
        <f>IFERROR(VLOOKUP(C439,[1]Sheet1!$A$1:$C$41,2,0),"Merchant Not Found")</f>
        <v>Merchant_011</v>
      </c>
      <c r="E439" s="7">
        <v>46028.993055555598</v>
      </c>
      <c r="F439">
        <v>1499</v>
      </c>
      <c r="G439" s="8" t="s">
        <v>39</v>
      </c>
      <c r="H439" s="8" t="s">
        <v>40</v>
      </c>
      <c r="I439">
        <v>17</v>
      </c>
      <c r="J439" s="9">
        <f t="shared" si="12"/>
        <v>46028</v>
      </c>
      <c r="K439" s="10">
        <f>INDEX(Daily_Merchant_Pivot!$B$3:$AO$32,MATCH(J439,Daily_Merchant_Pivot!$A$3:$A$32,0),MATCH(C439,Daily_Merchant_Pivot!$B$2:$AO$2,0))</f>
        <v>1499</v>
      </c>
      <c r="L439" s="3" t="str">
        <f>INDEX(Merchant_Region_Map!$D$3:$D$42,MATCH(C439,Merchant_Region_Map!$A$3:$A$42,0))</f>
        <v>North</v>
      </c>
      <c r="M439" s="11" t="str">
        <f t="shared" si="13"/>
        <v/>
      </c>
    </row>
    <row r="440" spans="1:13" x14ac:dyDescent="0.25">
      <c r="A440" t="s">
        <v>482</v>
      </c>
      <c r="B440">
        <v>95</v>
      </c>
      <c r="C440">
        <v>35</v>
      </c>
      <c r="D440" s="13" t="str">
        <f>IFERROR(VLOOKUP(C440,[1]Sheet1!$A$1:$C$41,2,0),"Merchant Not Found")</f>
        <v>Merchant_035</v>
      </c>
      <c r="E440" s="7">
        <v>46046.729861111096</v>
      </c>
      <c r="F440">
        <v>149</v>
      </c>
      <c r="G440" s="8" t="s">
        <v>42</v>
      </c>
      <c r="H440" s="8" t="s">
        <v>40</v>
      </c>
      <c r="I440">
        <v>82</v>
      </c>
      <c r="J440" s="9">
        <f t="shared" si="12"/>
        <v>46046</v>
      </c>
      <c r="K440" s="10">
        <f>INDEX(Daily_Merchant_Pivot!$B$3:$AO$32,MATCH(J440,Daily_Merchant_Pivot!$A$3:$A$32,0),MATCH(C440,Daily_Merchant_Pivot!$B$2:$AO$2,0))</f>
        <v>149</v>
      </c>
      <c r="L440" s="3" t="str">
        <f>INDEX(Merchant_Region_Map!$D$3:$D$42,MATCH(C440,Merchant_Region_Map!$A$3:$A$42,0))</f>
        <v>East</v>
      </c>
      <c r="M440" s="11" t="str">
        <f t="shared" si="13"/>
        <v/>
      </c>
    </row>
    <row r="441" spans="1:13" x14ac:dyDescent="0.25">
      <c r="A441" t="s">
        <v>483</v>
      </c>
      <c r="B441">
        <v>39</v>
      </c>
      <c r="C441">
        <v>4</v>
      </c>
      <c r="D441" s="13" t="str">
        <f>IFERROR(VLOOKUP(C441,[1]Sheet1!$A$1:$C$41,2,0),"Merchant Not Found")</f>
        <v>Merchant_004</v>
      </c>
      <c r="E441" s="7">
        <v>46024.668055555601</v>
      </c>
      <c r="F441">
        <v>149</v>
      </c>
      <c r="G441" s="8" t="s">
        <v>44</v>
      </c>
      <c r="H441" s="8" t="s">
        <v>40</v>
      </c>
      <c r="I441">
        <v>97</v>
      </c>
      <c r="J441" s="9">
        <f t="shared" si="12"/>
        <v>46024</v>
      </c>
      <c r="K441" s="10">
        <f>INDEX(Daily_Merchant_Pivot!$B$3:$AO$32,MATCH(J441,Daily_Merchant_Pivot!$A$3:$A$32,0),MATCH(C441,Daily_Merchant_Pivot!$B$2:$AO$2,0))</f>
        <v>149</v>
      </c>
      <c r="L441" s="3" t="str">
        <f>INDEX(Merchant_Region_Map!$D$3:$D$42,MATCH(C441,Merchant_Region_Map!$A$3:$A$42,0))</f>
        <v>East</v>
      </c>
      <c r="M441" s="11" t="str">
        <f t="shared" si="13"/>
        <v/>
      </c>
    </row>
    <row r="442" spans="1:13" x14ac:dyDescent="0.25">
      <c r="A442" t="s">
        <v>484</v>
      </c>
      <c r="B442">
        <v>323</v>
      </c>
      <c r="C442">
        <v>15</v>
      </c>
      <c r="D442" s="13" t="str">
        <f>IFERROR(VLOOKUP(C442,[1]Sheet1!$A$1:$C$41,2,0),"Merchant Not Found")</f>
        <v>Merchant_015</v>
      </c>
      <c r="E442" s="7">
        <v>46023.547222222202</v>
      </c>
      <c r="F442">
        <v>499</v>
      </c>
      <c r="G442" s="8" t="s">
        <v>39</v>
      </c>
      <c r="H442" s="8" t="s">
        <v>40</v>
      </c>
      <c r="I442">
        <v>8</v>
      </c>
      <c r="J442" s="9">
        <f t="shared" si="12"/>
        <v>46023</v>
      </c>
      <c r="K442" s="10">
        <f>INDEX(Daily_Merchant_Pivot!$B$3:$AO$32,MATCH(J442,Daily_Merchant_Pivot!$A$3:$A$32,0),MATCH(C442,Daily_Merchant_Pivot!$B$2:$AO$2,0))</f>
        <v>499</v>
      </c>
      <c r="L442" s="3" t="str">
        <f>INDEX(Merchant_Region_Map!$D$3:$D$42,MATCH(C442,Merchant_Region_Map!$A$3:$A$42,0))</f>
        <v>North</v>
      </c>
      <c r="M442" s="11" t="str">
        <f t="shared" si="13"/>
        <v/>
      </c>
    </row>
    <row r="443" spans="1:13" x14ac:dyDescent="0.25">
      <c r="A443" t="s">
        <v>485</v>
      </c>
      <c r="B443">
        <v>112</v>
      </c>
      <c r="C443">
        <v>33</v>
      </c>
      <c r="D443" s="13" t="str">
        <f>IFERROR(VLOOKUP(C443,[1]Sheet1!$A$1:$C$41,2,0),"Merchant Not Found")</f>
        <v>Merchant_033</v>
      </c>
      <c r="E443" s="7">
        <v>46045.166666666701</v>
      </c>
      <c r="F443">
        <v>49</v>
      </c>
      <c r="G443" s="8" t="s">
        <v>44</v>
      </c>
      <c r="H443" s="8" t="s">
        <v>40</v>
      </c>
      <c r="I443">
        <v>58</v>
      </c>
      <c r="J443" s="9">
        <f t="shared" si="12"/>
        <v>46045</v>
      </c>
      <c r="K443" s="10">
        <f>INDEX(Daily_Merchant_Pivot!$B$3:$AO$32,MATCH(J443,Daily_Merchant_Pivot!$A$3:$A$32,0),MATCH(C443,Daily_Merchant_Pivot!$B$2:$AO$2,0))</f>
        <v>49</v>
      </c>
      <c r="L443" s="3" t="str">
        <f>INDEX(Merchant_Region_Map!$D$3:$D$42,MATCH(C443,Merchant_Region_Map!$A$3:$A$42,0))</f>
        <v>East</v>
      </c>
      <c r="M443" s="11" t="str">
        <f t="shared" si="13"/>
        <v/>
      </c>
    </row>
    <row r="444" spans="1:13" x14ac:dyDescent="0.25">
      <c r="A444" t="s">
        <v>486</v>
      </c>
      <c r="B444">
        <v>327</v>
      </c>
      <c r="C444">
        <v>40</v>
      </c>
      <c r="D444" s="13" t="str">
        <f>IFERROR(VLOOKUP(C444,[1]Sheet1!$A$1:$C$41,2,0),"Merchant Not Found")</f>
        <v>Merchant_040</v>
      </c>
      <c r="E444" s="7">
        <v>46034.068749999999</v>
      </c>
      <c r="F444">
        <v>99</v>
      </c>
      <c r="G444" s="8" t="s">
        <v>39</v>
      </c>
      <c r="H444" s="8" t="s">
        <v>40</v>
      </c>
      <c r="I444">
        <v>61</v>
      </c>
      <c r="J444" s="9">
        <f t="shared" si="12"/>
        <v>46034</v>
      </c>
      <c r="K444" s="10">
        <f>INDEX(Daily_Merchant_Pivot!$B$3:$AO$32,MATCH(J444,Daily_Merchant_Pivot!$A$3:$A$32,0),MATCH(C444,Daily_Merchant_Pivot!$B$2:$AO$2,0))</f>
        <v>99</v>
      </c>
      <c r="L444" s="3" t="str">
        <f>INDEX(Merchant_Region_Map!$D$3:$D$42,MATCH(C444,Merchant_Region_Map!$A$3:$A$42,0))</f>
        <v>South</v>
      </c>
      <c r="M444" s="11" t="str">
        <f t="shared" si="13"/>
        <v/>
      </c>
    </row>
    <row r="445" spans="1:13" x14ac:dyDescent="0.25">
      <c r="A445" t="s">
        <v>487</v>
      </c>
      <c r="B445">
        <v>4</v>
      </c>
      <c r="C445">
        <v>35</v>
      </c>
      <c r="D445" s="13" t="str">
        <f>IFERROR(VLOOKUP(C445,[1]Sheet1!$A$1:$C$41,2,0),"Merchant Not Found")</f>
        <v>Merchant_035</v>
      </c>
      <c r="E445" s="7">
        <v>46044.625694444498</v>
      </c>
      <c r="F445">
        <v>299</v>
      </c>
      <c r="G445" s="8" t="s">
        <v>39</v>
      </c>
      <c r="H445" s="8" t="s">
        <v>40</v>
      </c>
      <c r="I445">
        <v>70</v>
      </c>
      <c r="J445" s="9">
        <f t="shared" si="12"/>
        <v>46044</v>
      </c>
      <c r="K445" s="10">
        <f>INDEX(Daily_Merchant_Pivot!$B$3:$AO$32,MATCH(J445,Daily_Merchant_Pivot!$A$3:$A$32,0),MATCH(C445,Daily_Merchant_Pivot!$B$2:$AO$2,0))</f>
        <v>299</v>
      </c>
      <c r="L445" s="3" t="str">
        <f>INDEX(Merchant_Region_Map!$D$3:$D$42,MATCH(C445,Merchant_Region_Map!$A$3:$A$42,0))</f>
        <v>East</v>
      </c>
      <c r="M445" s="11" t="str">
        <f t="shared" si="13"/>
        <v/>
      </c>
    </row>
    <row r="446" spans="1:13" x14ac:dyDescent="0.25">
      <c r="A446" t="s">
        <v>488</v>
      </c>
      <c r="B446">
        <v>272</v>
      </c>
      <c r="C446">
        <v>18</v>
      </c>
      <c r="D446" s="13" t="str">
        <f>IFERROR(VLOOKUP(C446,[1]Sheet1!$A$1:$C$41,2,0),"Merchant Not Found")</f>
        <v>Merchant_018</v>
      </c>
      <c r="E446" s="7">
        <v>46036.000694444498</v>
      </c>
      <c r="F446">
        <v>149</v>
      </c>
      <c r="G446" s="8" t="s">
        <v>39</v>
      </c>
      <c r="H446" s="8" t="s">
        <v>40</v>
      </c>
      <c r="I446">
        <v>68</v>
      </c>
      <c r="J446" s="9">
        <f t="shared" si="12"/>
        <v>46036</v>
      </c>
      <c r="K446" s="10">
        <f>INDEX(Daily_Merchant_Pivot!$B$3:$AO$32,MATCH(J446,Daily_Merchant_Pivot!$A$3:$A$32,0),MATCH(C446,Daily_Merchant_Pivot!$B$2:$AO$2,0))</f>
        <v>149</v>
      </c>
      <c r="L446" s="3" t="str">
        <f>INDEX(Merchant_Region_Map!$D$3:$D$42,MATCH(C446,Merchant_Region_Map!$A$3:$A$42,0))</f>
        <v>West</v>
      </c>
      <c r="M446" s="11" t="str">
        <f t="shared" si="13"/>
        <v/>
      </c>
    </row>
    <row r="447" spans="1:13" x14ac:dyDescent="0.25">
      <c r="A447" t="s">
        <v>489</v>
      </c>
      <c r="B447">
        <v>346</v>
      </c>
      <c r="C447">
        <v>28</v>
      </c>
      <c r="D447" s="13" t="str">
        <f>IFERROR(VLOOKUP(C447,[1]Sheet1!$A$1:$C$41,2,0),"Merchant Not Found")</f>
        <v>Merchant_028</v>
      </c>
      <c r="E447" s="7">
        <v>46032.0222222222</v>
      </c>
      <c r="F447">
        <v>499</v>
      </c>
      <c r="G447" s="8" t="s">
        <v>39</v>
      </c>
      <c r="H447" s="8" t="s">
        <v>40</v>
      </c>
      <c r="I447">
        <v>22</v>
      </c>
      <c r="J447" s="9">
        <f t="shared" si="12"/>
        <v>46032</v>
      </c>
      <c r="K447" s="10">
        <f>INDEX(Daily_Merchant_Pivot!$B$3:$AO$32,MATCH(J447,Daily_Merchant_Pivot!$A$3:$A$32,0),MATCH(C447,Daily_Merchant_Pivot!$B$2:$AO$2,0))</f>
        <v>499</v>
      </c>
      <c r="L447" s="3" t="str">
        <f>INDEX(Merchant_Region_Map!$D$3:$D$42,MATCH(C447,Merchant_Region_Map!$A$3:$A$42,0))</f>
        <v>South</v>
      </c>
      <c r="M447" s="11" t="str">
        <f t="shared" si="13"/>
        <v/>
      </c>
    </row>
    <row r="448" spans="1:13" x14ac:dyDescent="0.25">
      <c r="A448" t="s">
        <v>490</v>
      </c>
      <c r="B448">
        <v>77</v>
      </c>
      <c r="C448">
        <v>16</v>
      </c>
      <c r="D448" s="13" t="str">
        <f>IFERROR(VLOOKUP(C448,[1]Sheet1!$A$1:$C$41,2,0),"Merchant Not Found")</f>
        <v>Merchant_016</v>
      </c>
      <c r="E448" s="7">
        <v>46026.147916666698</v>
      </c>
      <c r="F448">
        <v>49</v>
      </c>
      <c r="G448" s="8" t="s">
        <v>42</v>
      </c>
      <c r="H448" s="8" t="s">
        <v>40</v>
      </c>
      <c r="I448">
        <v>24</v>
      </c>
      <c r="J448" s="9">
        <f t="shared" si="12"/>
        <v>46026</v>
      </c>
      <c r="K448" s="10">
        <f>INDEX(Daily_Merchant_Pivot!$B$3:$AO$32,MATCH(J448,Daily_Merchant_Pivot!$A$3:$A$32,0),MATCH(C448,Daily_Merchant_Pivot!$B$2:$AO$2,0))</f>
        <v>49</v>
      </c>
      <c r="L448" s="3" t="str">
        <f>INDEX(Merchant_Region_Map!$D$3:$D$42,MATCH(C448,Merchant_Region_Map!$A$3:$A$42,0))</f>
        <v>West</v>
      </c>
      <c r="M448" s="11" t="str">
        <f t="shared" si="13"/>
        <v/>
      </c>
    </row>
    <row r="449" spans="1:13" x14ac:dyDescent="0.25">
      <c r="A449" t="s">
        <v>491</v>
      </c>
      <c r="B449">
        <v>182</v>
      </c>
      <c r="C449">
        <v>18</v>
      </c>
      <c r="D449" s="13" t="str">
        <f>IFERROR(VLOOKUP(C449,[1]Sheet1!$A$1:$C$41,2,0),"Merchant Not Found")</f>
        <v>Merchant_018</v>
      </c>
      <c r="E449" s="7">
        <v>46042.677777777797</v>
      </c>
      <c r="F449">
        <v>149</v>
      </c>
      <c r="G449" s="8" t="s">
        <v>52</v>
      </c>
      <c r="H449" s="8" t="s">
        <v>40</v>
      </c>
      <c r="I449">
        <v>50</v>
      </c>
      <c r="J449" s="9">
        <f t="shared" si="12"/>
        <v>46042</v>
      </c>
      <c r="K449" s="10">
        <f>INDEX(Daily_Merchant_Pivot!$B$3:$AO$32,MATCH(J449,Daily_Merchant_Pivot!$A$3:$A$32,0),MATCH(C449,Daily_Merchant_Pivot!$B$2:$AO$2,0))</f>
        <v>149</v>
      </c>
      <c r="L449" s="3" t="str">
        <f>INDEX(Merchant_Region_Map!$D$3:$D$42,MATCH(C449,Merchant_Region_Map!$A$3:$A$42,0))</f>
        <v>West</v>
      </c>
      <c r="M449" s="11" t="str">
        <f t="shared" si="13"/>
        <v/>
      </c>
    </row>
    <row r="450" spans="1:13" x14ac:dyDescent="0.25">
      <c r="A450" t="s">
        <v>492</v>
      </c>
      <c r="B450">
        <v>236</v>
      </c>
      <c r="C450">
        <v>37</v>
      </c>
      <c r="D450" s="13" t="str">
        <f>IFERROR(VLOOKUP(C450,[1]Sheet1!$A$1:$C$41,2,0),"Merchant Not Found")</f>
        <v>Merchant_037</v>
      </c>
      <c r="E450" s="7">
        <v>46025.475694444503</v>
      </c>
      <c r="F450">
        <v>299</v>
      </c>
      <c r="G450" s="8" t="s">
        <v>52</v>
      </c>
      <c r="H450" s="8" t="s">
        <v>40</v>
      </c>
      <c r="I450">
        <v>31</v>
      </c>
      <c r="J450" s="9">
        <f t="shared" si="12"/>
        <v>46025</v>
      </c>
      <c r="K450" s="10">
        <f>INDEX(Daily_Merchant_Pivot!$B$3:$AO$32,MATCH(J450,Daily_Merchant_Pivot!$A$3:$A$32,0),MATCH(C450,Daily_Merchant_Pivot!$B$2:$AO$2,0))</f>
        <v>299</v>
      </c>
      <c r="L450" s="3" t="str">
        <f>INDEX(Merchant_Region_Map!$D$3:$D$42,MATCH(C450,Merchant_Region_Map!$A$3:$A$42,0))</f>
        <v>South</v>
      </c>
      <c r="M450" s="11" t="str">
        <f t="shared" si="13"/>
        <v/>
      </c>
    </row>
    <row r="451" spans="1:13" x14ac:dyDescent="0.25">
      <c r="A451" t="s">
        <v>493</v>
      </c>
      <c r="B451">
        <v>42</v>
      </c>
      <c r="C451">
        <v>3</v>
      </c>
      <c r="D451" s="13" t="str">
        <f>IFERROR(VLOOKUP(C451,[1]Sheet1!$A$1:$C$41,2,0),"Merchant Not Found")</f>
        <v>Merchant_003</v>
      </c>
      <c r="E451" s="7">
        <v>46045.304861111101</v>
      </c>
      <c r="F451">
        <v>49</v>
      </c>
      <c r="G451" s="8" t="s">
        <v>39</v>
      </c>
      <c r="H451" s="8" t="s">
        <v>40</v>
      </c>
      <c r="I451">
        <v>11</v>
      </c>
      <c r="J451" s="9">
        <f t="shared" ref="J451:J514" si="14">INT(E451)</f>
        <v>46045</v>
      </c>
      <c r="K451" s="10">
        <f>INDEX(Daily_Merchant_Pivot!$B$3:$AO$32,MATCH(J451,Daily_Merchant_Pivot!$A$3:$A$32,0),MATCH(C451,Daily_Merchant_Pivot!$B$2:$AO$2,0))</f>
        <v>49</v>
      </c>
      <c r="L451" s="3" t="str">
        <f>INDEX(Merchant_Region_Map!$D$3:$D$42,MATCH(C451,Merchant_Region_Map!$A$3:$A$42,0))</f>
        <v>East</v>
      </c>
      <c r="M451" s="11" t="str">
        <f t="shared" ref="M451:M514" si="15">IF(AND(K451&gt;5000,L451&lt;&gt;"East"),"High-Value Merchant Day","")</f>
        <v/>
      </c>
    </row>
    <row r="452" spans="1:13" x14ac:dyDescent="0.25">
      <c r="A452" t="s">
        <v>494</v>
      </c>
      <c r="B452">
        <v>88</v>
      </c>
      <c r="C452">
        <v>6</v>
      </c>
      <c r="D452" s="13" t="str">
        <f>IFERROR(VLOOKUP(C452,[1]Sheet1!$A$1:$C$41,2,0),"Merchant Not Found")</f>
        <v>Merchant_006</v>
      </c>
      <c r="E452" s="7">
        <v>46043.030555555597</v>
      </c>
      <c r="F452">
        <v>49</v>
      </c>
      <c r="G452" s="8" t="s">
        <v>39</v>
      </c>
      <c r="H452" s="8" t="s">
        <v>40</v>
      </c>
      <c r="I452">
        <v>63</v>
      </c>
      <c r="J452" s="9">
        <f t="shared" si="14"/>
        <v>46043</v>
      </c>
      <c r="K452" s="10">
        <f>INDEX(Daily_Merchant_Pivot!$B$3:$AO$32,MATCH(J452,Daily_Merchant_Pivot!$A$3:$A$32,0),MATCH(C452,Daily_Merchant_Pivot!$B$2:$AO$2,0))</f>
        <v>49</v>
      </c>
      <c r="L452" s="3" t="str">
        <f>INDEX(Merchant_Region_Map!$D$3:$D$42,MATCH(C452,Merchant_Region_Map!$A$3:$A$42,0))</f>
        <v>South</v>
      </c>
      <c r="M452" s="11" t="str">
        <f t="shared" si="15"/>
        <v/>
      </c>
    </row>
    <row r="453" spans="1:13" x14ac:dyDescent="0.25">
      <c r="A453" t="s">
        <v>495</v>
      </c>
      <c r="B453">
        <v>170</v>
      </c>
      <c r="C453">
        <v>37</v>
      </c>
      <c r="D453" s="13" t="str">
        <f>IFERROR(VLOOKUP(C453,[1]Sheet1!$A$1:$C$41,2,0),"Merchant Not Found")</f>
        <v>Merchant_037</v>
      </c>
      <c r="E453" s="7">
        <v>46050.570138888899</v>
      </c>
      <c r="F453">
        <v>99</v>
      </c>
      <c r="G453" s="8" t="s">
        <v>39</v>
      </c>
      <c r="H453" s="8" t="s">
        <v>53</v>
      </c>
      <c r="I453">
        <v>12</v>
      </c>
      <c r="J453" s="9">
        <f t="shared" si="14"/>
        <v>46050</v>
      </c>
      <c r="K453" s="10">
        <f>INDEX(Daily_Merchant_Pivot!$B$3:$AO$32,MATCH(J453,Daily_Merchant_Pivot!$A$3:$A$32,0),MATCH(C453,Daily_Merchant_Pivot!$B$2:$AO$2,0))</f>
        <v>99</v>
      </c>
      <c r="L453" s="3" t="str">
        <f>INDEX(Merchant_Region_Map!$D$3:$D$42,MATCH(C453,Merchant_Region_Map!$A$3:$A$42,0))</f>
        <v>South</v>
      </c>
      <c r="M453" s="11" t="str">
        <f t="shared" si="15"/>
        <v/>
      </c>
    </row>
    <row r="454" spans="1:13" x14ac:dyDescent="0.25">
      <c r="A454" t="s">
        <v>496</v>
      </c>
      <c r="B454">
        <v>22</v>
      </c>
      <c r="C454">
        <v>15</v>
      </c>
      <c r="D454" s="13" t="str">
        <f>IFERROR(VLOOKUP(C454,[1]Sheet1!$A$1:$C$41,2,0),"Merchant Not Found")</f>
        <v>Merchant_015</v>
      </c>
      <c r="E454" s="7">
        <v>46051.706944444399</v>
      </c>
      <c r="F454">
        <v>49</v>
      </c>
      <c r="G454" s="8" t="s">
        <v>44</v>
      </c>
      <c r="H454" s="8" t="s">
        <v>40</v>
      </c>
      <c r="I454">
        <v>27</v>
      </c>
      <c r="J454" s="9">
        <f t="shared" si="14"/>
        <v>46051</v>
      </c>
      <c r="K454" s="10">
        <f>INDEX(Daily_Merchant_Pivot!$B$3:$AO$32,MATCH(J454,Daily_Merchant_Pivot!$A$3:$A$32,0),MATCH(C454,Daily_Merchant_Pivot!$B$2:$AO$2,0))</f>
        <v>98</v>
      </c>
      <c r="L454" s="3" t="str">
        <f>INDEX(Merchant_Region_Map!$D$3:$D$42,MATCH(C454,Merchant_Region_Map!$A$3:$A$42,0))</f>
        <v>North</v>
      </c>
      <c r="M454" s="11" t="str">
        <f t="shared" si="15"/>
        <v/>
      </c>
    </row>
    <row r="455" spans="1:13" x14ac:dyDescent="0.25">
      <c r="A455" t="s">
        <v>497</v>
      </c>
      <c r="B455">
        <v>144</v>
      </c>
      <c r="C455">
        <v>35</v>
      </c>
      <c r="D455" s="13" t="str">
        <f>IFERROR(VLOOKUP(C455,[1]Sheet1!$A$1:$C$41,2,0),"Merchant Not Found")</f>
        <v>Merchant_035</v>
      </c>
      <c r="E455" s="7">
        <v>46024.113194444399</v>
      </c>
      <c r="F455">
        <v>1499</v>
      </c>
      <c r="G455" s="8" t="s">
        <v>39</v>
      </c>
      <c r="H455" s="8" t="s">
        <v>40</v>
      </c>
      <c r="I455">
        <v>72</v>
      </c>
      <c r="J455" s="9">
        <f t="shared" si="14"/>
        <v>46024</v>
      </c>
      <c r="K455" s="10">
        <f>INDEX(Daily_Merchant_Pivot!$B$3:$AO$32,MATCH(J455,Daily_Merchant_Pivot!$A$3:$A$32,0),MATCH(C455,Daily_Merchant_Pivot!$B$2:$AO$2,0))</f>
        <v>1548</v>
      </c>
      <c r="L455" s="3" t="str">
        <f>INDEX(Merchant_Region_Map!$D$3:$D$42,MATCH(C455,Merchant_Region_Map!$A$3:$A$42,0))</f>
        <v>East</v>
      </c>
      <c r="M455" s="11" t="str">
        <f t="shared" si="15"/>
        <v/>
      </c>
    </row>
    <row r="456" spans="1:13" x14ac:dyDescent="0.25">
      <c r="A456" t="s">
        <v>498</v>
      </c>
      <c r="B456">
        <v>162</v>
      </c>
      <c r="C456">
        <v>2</v>
      </c>
      <c r="D456" s="13" t="str">
        <f>IFERROR(VLOOKUP(C456,[1]Sheet1!$A$1:$C$41,2,0),"Merchant Not Found")</f>
        <v>Merchant_002</v>
      </c>
      <c r="E456" s="7">
        <v>46044.0493055556</v>
      </c>
      <c r="F456">
        <v>299</v>
      </c>
      <c r="G456" s="8" t="s">
        <v>42</v>
      </c>
      <c r="H456" s="8" t="s">
        <v>40</v>
      </c>
      <c r="I456">
        <v>26</v>
      </c>
      <c r="J456" s="9">
        <f t="shared" si="14"/>
        <v>46044</v>
      </c>
      <c r="K456" s="10">
        <f>INDEX(Daily_Merchant_Pivot!$B$3:$AO$32,MATCH(J456,Daily_Merchant_Pivot!$A$3:$A$32,0),MATCH(C456,Daily_Merchant_Pivot!$B$2:$AO$2,0))</f>
        <v>299</v>
      </c>
      <c r="L456" s="3" t="str">
        <f>INDEX(Merchant_Region_Map!$D$3:$D$42,MATCH(C456,Merchant_Region_Map!$A$3:$A$42,0))</f>
        <v>West</v>
      </c>
      <c r="M456" s="11" t="str">
        <f t="shared" si="15"/>
        <v/>
      </c>
    </row>
    <row r="457" spans="1:13" x14ac:dyDescent="0.25">
      <c r="A457" t="s">
        <v>499</v>
      </c>
      <c r="B457">
        <v>204</v>
      </c>
      <c r="C457">
        <v>5</v>
      </c>
      <c r="D457" s="13" t="str">
        <f>IFERROR(VLOOKUP(C457,[1]Sheet1!$A$1:$C$41,2,0),"Merchant Not Found")</f>
        <v>Merchant_005</v>
      </c>
      <c r="E457" s="7">
        <v>46041.2</v>
      </c>
      <c r="F457">
        <v>49</v>
      </c>
      <c r="G457" s="8" t="s">
        <v>39</v>
      </c>
      <c r="H457" s="8" t="s">
        <v>40</v>
      </c>
      <c r="I457">
        <v>38</v>
      </c>
      <c r="J457" s="9">
        <f t="shared" si="14"/>
        <v>46041</v>
      </c>
      <c r="K457" s="10">
        <f>INDEX(Daily_Merchant_Pivot!$B$3:$AO$32,MATCH(J457,Daily_Merchant_Pivot!$A$3:$A$32,0),MATCH(C457,Daily_Merchant_Pivot!$B$2:$AO$2,0))</f>
        <v>49</v>
      </c>
      <c r="L457" s="3" t="str">
        <f>INDEX(Merchant_Region_Map!$D$3:$D$42,MATCH(C457,Merchant_Region_Map!$A$3:$A$42,0))</f>
        <v>South</v>
      </c>
      <c r="M457" s="11" t="str">
        <f t="shared" si="15"/>
        <v/>
      </c>
    </row>
    <row r="458" spans="1:13" x14ac:dyDescent="0.25">
      <c r="A458" t="s">
        <v>500</v>
      </c>
      <c r="B458">
        <v>291</v>
      </c>
      <c r="C458">
        <v>25</v>
      </c>
      <c r="D458" s="13" t="str">
        <f>IFERROR(VLOOKUP(C458,[1]Sheet1!$A$1:$C$41,2,0),"Merchant Not Found")</f>
        <v>Merchant_025</v>
      </c>
      <c r="E458" s="7">
        <v>46028.760416666701</v>
      </c>
      <c r="F458">
        <v>99</v>
      </c>
      <c r="G458" s="8" t="s">
        <v>42</v>
      </c>
      <c r="H458" s="8" t="s">
        <v>40</v>
      </c>
      <c r="I458">
        <v>86</v>
      </c>
      <c r="J458" s="9">
        <f t="shared" si="14"/>
        <v>46028</v>
      </c>
      <c r="K458" s="10">
        <f>INDEX(Daily_Merchant_Pivot!$B$3:$AO$32,MATCH(J458,Daily_Merchant_Pivot!$A$3:$A$32,0),MATCH(C458,Daily_Merchant_Pivot!$B$2:$AO$2,0))</f>
        <v>898</v>
      </c>
      <c r="L458" s="3" t="str">
        <f>INDEX(Merchant_Region_Map!$D$3:$D$42,MATCH(C458,Merchant_Region_Map!$A$3:$A$42,0))</f>
        <v>South</v>
      </c>
      <c r="M458" s="11" t="str">
        <f t="shared" si="15"/>
        <v/>
      </c>
    </row>
    <row r="459" spans="1:13" x14ac:dyDescent="0.25">
      <c r="A459" t="s">
        <v>501</v>
      </c>
      <c r="B459">
        <v>197</v>
      </c>
      <c r="C459">
        <v>9</v>
      </c>
      <c r="D459" s="13" t="str">
        <f>IFERROR(VLOOKUP(C459,[1]Sheet1!$A$1:$C$41,2,0),"Merchant Not Found")</f>
        <v>Merchant_009</v>
      </c>
      <c r="E459" s="7">
        <v>46051.722916666702</v>
      </c>
      <c r="F459">
        <v>99</v>
      </c>
      <c r="G459" s="8" t="s">
        <v>42</v>
      </c>
      <c r="H459" s="8" t="s">
        <v>53</v>
      </c>
      <c r="I459">
        <v>88</v>
      </c>
      <c r="J459" s="9">
        <f t="shared" si="14"/>
        <v>46051</v>
      </c>
      <c r="K459" s="10">
        <f>INDEX(Daily_Merchant_Pivot!$B$3:$AO$32,MATCH(J459,Daily_Merchant_Pivot!$A$3:$A$32,0),MATCH(C459,Daily_Merchant_Pivot!$B$2:$AO$2,0))</f>
        <v>0</v>
      </c>
      <c r="L459" s="3" t="str">
        <f>INDEX(Merchant_Region_Map!$D$3:$D$42,MATCH(C459,Merchant_Region_Map!$A$3:$A$42,0))</f>
        <v>North</v>
      </c>
      <c r="M459" s="11" t="str">
        <f t="shared" si="15"/>
        <v/>
      </c>
    </row>
    <row r="460" spans="1:13" x14ac:dyDescent="0.25">
      <c r="A460" t="s">
        <v>502</v>
      </c>
      <c r="B460">
        <v>178</v>
      </c>
      <c r="C460">
        <v>4</v>
      </c>
      <c r="D460" s="13" t="str">
        <f>IFERROR(VLOOKUP(C460,[1]Sheet1!$A$1:$C$41,2,0),"Merchant Not Found")</f>
        <v>Merchant_004</v>
      </c>
      <c r="E460" s="7">
        <v>46046.105555555601</v>
      </c>
      <c r="F460">
        <v>1499</v>
      </c>
      <c r="G460" s="8" t="s">
        <v>39</v>
      </c>
      <c r="H460" s="8" t="s">
        <v>40</v>
      </c>
      <c r="I460">
        <v>12</v>
      </c>
      <c r="J460" s="9">
        <f t="shared" si="14"/>
        <v>46046</v>
      </c>
      <c r="K460" s="10">
        <f>INDEX(Daily_Merchant_Pivot!$B$3:$AO$32,MATCH(J460,Daily_Merchant_Pivot!$A$3:$A$32,0),MATCH(C460,Daily_Merchant_Pivot!$B$2:$AO$2,0))</f>
        <v>1499</v>
      </c>
      <c r="L460" s="3" t="str">
        <f>INDEX(Merchant_Region_Map!$D$3:$D$42,MATCH(C460,Merchant_Region_Map!$A$3:$A$42,0))</f>
        <v>East</v>
      </c>
      <c r="M460" s="11" t="str">
        <f t="shared" si="15"/>
        <v/>
      </c>
    </row>
    <row r="461" spans="1:13" x14ac:dyDescent="0.25">
      <c r="A461" t="s">
        <v>503</v>
      </c>
      <c r="B461">
        <v>39</v>
      </c>
      <c r="C461">
        <v>22</v>
      </c>
      <c r="D461" s="13" t="str">
        <f>IFERROR(VLOOKUP(C461,[1]Sheet1!$A$1:$C$41,2,0),"Merchant Not Found")</f>
        <v>Merchant_022</v>
      </c>
      <c r="E461" s="7">
        <v>46036.328472222202</v>
      </c>
      <c r="F461">
        <v>799</v>
      </c>
      <c r="G461" s="8" t="s">
        <v>44</v>
      </c>
      <c r="H461" s="8" t="s">
        <v>40</v>
      </c>
      <c r="I461">
        <v>77</v>
      </c>
      <c r="J461" s="9">
        <f t="shared" si="14"/>
        <v>46036</v>
      </c>
      <c r="K461" s="10">
        <f>INDEX(Daily_Merchant_Pivot!$B$3:$AO$32,MATCH(J461,Daily_Merchant_Pivot!$A$3:$A$32,0),MATCH(C461,Daily_Merchant_Pivot!$B$2:$AO$2,0))</f>
        <v>799</v>
      </c>
      <c r="L461" s="3" t="str">
        <f>INDEX(Merchant_Region_Map!$D$3:$D$42,MATCH(C461,Merchant_Region_Map!$A$3:$A$42,0))</f>
        <v>South</v>
      </c>
      <c r="M461" s="11" t="str">
        <f t="shared" si="15"/>
        <v/>
      </c>
    </row>
    <row r="462" spans="1:13" x14ac:dyDescent="0.25">
      <c r="A462" t="s">
        <v>504</v>
      </c>
      <c r="B462">
        <v>204</v>
      </c>
      <c r="C462">
        <v>21</v>
      </c>
      <c r="D462" s="13" t="str">
        <f>IFERROR(VLOOKUP(C462,[1]Sheet1!$A$1:$C$41,2,0),"Merchant Not Found")</f>
        <v>Merchant_021</v>
      </c>
      <c r="E462" s="7">
        <v>46047.818055555603</v>
      </c>
      <c r="F462">
        <v>299</v>
      </c>
      <c r="G462" s="8" t="s">
        <v>42</v>
      </c>
      <c r="H462" s="8" t="s">
        <v>40</v>
      </c>
      <c r="I462">
        <v>3</v>
      </c>
      <c r="J462" s="9">
        <f t="shared" si="14"/>
        <v>46047</v>
      </c>
      <c r="K462" s="10">
        <f>INDEX(Daily_Merchant_Pivot!$B$3:$AO$32,MATCH(J462,Daily_Merchant_Pivot!$A$3:$A$32,0),MATCH(C462,Daily_Merchant_Pivot!$B$2:$AO$2,0))</f>
        <v>299</v>
      </c>
      <c r="L462" s="3" t="str">
        <f>INDEX(Merchant_Region_Map!$D$3:$D$42,MATCH(C462,Merchant_Region_Map!$A$3:$A$42,0))</f>
        <v>East</v>
      </c>
      <c r="M462" s="11" t="str">
        <f t="shared" si="15"/>
        <v/>
      </c>
    </row>
    <row r="463" spans="1:13" x14ac:dyDescent="0.25">
      <c r="A463" t="s">
        <v>505</v>
      </c>
      <c r="B463">
        <v>231</v>
      </c>
      <c r="C463">
        <v>32</v>
      </c>
      <c r="D463" s="13" t="str">
        <f>IFERROR(VLOOKUP(C463,[1]Sheet1!$A$1:$C$41,2,0),"Merchant Not Found")</f>
        <v>Merchant_032</v>
      </c>
      <c r="E463" s="7">
        <v>46043.368055555598</v>
      </c>
      <c r="F463">
        <v>299</v>
      </c>
      <c r="G463" s="8" t="s">
        <v>39</v>
      </c>
      <c r="H463" s="8" t="s">
        <v>40</v>
      </c>
      <c r="I463">
        <v>29</v>
      </c>
      <c r="J463" s="9">
        <f t="shared" si="14"/>
        <v>46043</v>
      </c>
      <c r="K463" s="10">
        <f>INDEX(Daily_Merchant_Pivot!$B$3:$AO$32,MATCH(J463,Daily_Merchant_Pivot!$A$3:$A$32,0),MATCH(C463,Daily_Merchant_Pivot!$B$2:$AO$2,0))</f>
        <v>5347</v>
      </c>
      <c r="L463" s="3" t="str">
        <f>INDEX(Merchant_Region_Map!$D$3:$D$42,MATCH(C463,Merchant_Region_Map!$A$3:$A$42,0))</f>
        <v>West</v>
      </c>
      <c r="M463" s="11" t="str">
        <f t="shared" si="15"/>
        <v>High-Value Merchant Day</v>
      </c>
    </row>
    <row r="464" spans="1:13" x14ac:dyDescent="0.25">
      <c r="A464" t="s">
        <v>506</v>
      </c>
      <c r="B464">
        <v>222</v>
      </c>
      <c r="C464">
        <v>12</v>
      </c>
      <c r="D464" s="13" t="str">
        <f>IFERROR(VLOOKUP(C464,[1]Sheet1!$A$1:$C$41,2,0),"Merchant Not Found")</f>
        <v>Merchant_012</v>
      </c>
      <c r="E464" s="7">
        <v>46034.724999999999</v>
      </c>
      <c r="F464">
        <v>499</v>
      </c>
      <c r="G464" s="8" t="s">
        <v>42</v>
      </c>
      <c r="H464" s="8" t="s">
        <v>53</v>
      </c>
      <c r="I464">
        <v>87</v>
      </c>
      <c r="J464" s="9">
        <f t="shared" si="14"/>
        <v>46034</v>
      </c>
      <c r="K464" s="10">
        <f>INDEX(Daily_Merchant_Pivot!$B$3:$AO$32,MATCH(J464,Daily_Merchant_Pivot!$A$3:$A$32,0),MATCH(C464,Daily_Merchant_Pivot!$B$2:$AO$2,0))</f>
        <v>1499</v>
      </c>
      <c r="L464" s="3" t="str">
        <f>INDEX(Merchant_Region_Map!$D$3:$D$42,MATCH(C464,Merchant_Region_Map!$A$3:$A$42,0))</f>
        <v>East</v>
      </c>
      <c r="M464" s="11" t="str">
        <f t="shared" si="15"/>
        <v/>
      </c>
    </row>
    <row r="465" spans="1:13" x14ac:dyDescent="0.25">
      <c r="A465" t="s">
        <v>507</v>
      </c>
      <c r="B465">
        <v>44</v>
      </c>
      <c r="C465">
        <v>40</v>
      </c>
      <c r="D465" s="13" t="str">
        <f>IFERROR(VLOOKUP(C465,[1]Sheet1!$A$1:$C$41,2,0),"Merchant Not Found")</f>
        <v>Merchant_040</v>
      </c>
      <c r="E465" s="7">
        <v>46041.891666666699</v>
      </c>
      <c r="F465">
        <v>499</v>
      </c>
      <c r="G465" s="8" t="s">
        <v>39</v>
      </c>
      <c r="H465" s="8" t="s">
        <v>40</v>
      </c>
      <c r="I465">
        <v>37</v>
      </c>
      <c r="J465" s="9">
        <f t="shared" si="14"/>
        <v>46041</v>
      </c>
      <c r="K465" s="10">
        <f>INDEX(Daily_Merchant_Pivot!$B$3:$AO$32,MATCH(J465,Daily_Merchant_Pivot!$A$3:$A$32,0),MATCH(C465,Daily_Merchant_Pivot!$B$2:$AO$2,0))</f>
        <v>648</v>
      </c>
      <c r="L465" s="3" t="str">
        <f>INDEX(Merchant_Region_Map!$D$3:$D$42,MATCH(C465,Merchant_Region_Map!$A$3:$A$42,0))</f>
        <v>South</v>
      </c>
      <c r="M465" s="11" t="str">
        <f t="shared" si="15"/>
        <v/>
      </c>
    </row>
    <row r="466" spans="1:13" x14ac:dyDescent="0.25">
      <c r="A466" t="s">
        <v>508</v>
      </c>
      <c r="B466">
        <v>38</v>
      </c>
      <c r="C466">
        <v>6</v>
      </c>
      <c r="D466" s="13" t="str">
        <f>IFERROR(VLOOKUP(C466,[1]Sheet1!$A$1:$C$41,2,0),"Merchant Not Found")</f>
        <v>Merchant_006</v>
      </c>
      <c r="E466" s="7">
        <v>46048.322916666701</v>
      </c>
      <c r="F466">
        <v>49</v>
      </c>
      <c r="G466" s="8" t="s">
        <v>42</v>
      </c>
      <c r="H466" s="8" t="s">
        <v>53</v>
      </c>
      <c r="I466">
        <v>34</v>
      </c>
      <c r="J466" s="9">
        <f t="shared" si="14"/>
        <v>46048</v>
      </c>
      <c r="K466" s="10">
        <f>INDEX(Daily_Merchant_Pivot!$B$3:$AO$32,MATCH(J466,Daily_Merchant_Pivot!$A$3:$A$32,0),MATCH(C466,Daily_Merchant_Pivot!$B$2:$AO$2,0))</f>
        <v>49</v>
      </c>
      <c r="L466" s="3" t="str">
        <f>INDEX(Merchant_Region_Map!$D$3:$D$42,MATCH(C466,Merchant_Region_Map!$A$3:$A$42,0))</f>
        <v>South</v>
      </c>
      <c r="M466" s="11" t="str">
        <f t="shared" si="15"/>
        <v/>
      </c>
    </row>
    <row r="467" spans="1:13" x14ac:dyDescent="0.25">
      <c r="A467" t="s">
        <v>509</v>
      </c>
      <c r="B467">
        <v>55</v>
      </c>
      <c r="C467">
        <v>6</v>
      </c>
      <c r="D467" s="13" t="str">
        <f>IFERROR(VLOOKUP(C467,[1]Sheet1!$A$1:$C$41,2,0),"Merchant Not Found")</f>
        <v>Merchant_006</v>
      </c>
      <c r="E467" s="7">
        <v>46035.432638888902</v>
      </c>
      <c r="F467">
        <v>1499</v>
      </c>
      <c r="G467" s="8" t="s">
        <v>52</v>
      </c>
      <c r="H467" s="8" t="s">
        <v>40</v>
      </c>
      <c r="I467">
        <v>0</v>
      </c>
      <c r="J467" s="9">
        <f t="shared" si="14"/>
        <v>46035</v>
      </c>
      <c r="K467" s="10">
        <f>INDEX(Daily_Merchant_Pivot!$B$3:$AO$32,MATCH(J467,Daily_Merchant_Pivot!$A$3:$A$32,0),MATCH(C467,Daily_Merchant_Pivot!$B$2:$AO$2,0))</f>
        <v>1499</v>
      </c>
      <c r="L467" s="3" t="str">
        <f>INDEX(Merchant_Region_Map!$D$3:$D$42,MATCH(C467,Merchant_Region_Map!$A$3:$A$42,0))</f>
        <v>South</v>
      </c>
      <c r="M467" s="11" t="str">
        <f t="shared" si="15"/>
        <v/>
      </c>
    </row>
    <row r="468" spans="1:13" x14ac:dyDescent="0.25">
      <c r="A468" t="s">
        <v>510</v>
      </c>
      <c r="B468">
        <v>139</v>
      </c>
      <c r="C468">
        <v>7</v>
      </c>
      <c r="D468" s="13" t="str">
        <f>IFERROR(VLOOKUP(C468,[1]Sheet1!$A$1:$C$41,2,0),"Merchant Not Found")</f>
        <v>Merchant_007</v>
      </c>
      <c r="E468" s="7">
        <v>46032.599305555603</v>
      </c>
      <c r="F468">
        <v>499</v>
      </c>
      <c r="G468" s="8" t="s">
        <v>52</v>
      </c>
      <c r="H468" s="8" t="s">
        <v>40</v>
      </c>
      <c r="I468">
        <v>16</v>
      </c>
      <c r="J468" s="9">
        <f t="shared" si="14"/>
        <v>46032</v>
      </c>
      <c r="K468" s="10">
        <f>INDEX(Daily_Merchant_Pivot!$B$3:$AO$32,MATCH(J468,Daily_Merchant_Pivot!$A$3:$A$32,0),MATCH(C468,Daily_Merchant_Pivot!$B$2:$AO$2,0))</f>
        <v>499</v>
      </c>
      <c r="L468" s="3" t="str">
        <f>INDEX(Merchant_Region_Map!$D$3:$D$42,MATCH(C468,Merchant_Region_Map!$A$3:$A$42,0))</f>
        <v>East</v>
      </c>
      <c r="M468" s="11" t="str">
        <f t="shared" si="15"/>
        <v/>
      </c>
    </row>
    <row r="469" spans="1:13" x14ac:dyDescent="0.25">
      <c r="A469" t="s">
        <v>511</v>
      </c>
      <c r="B469">
        <v>230</v>
      </c>
      <c r="C469">
        <v>36</v>
      </c>
      <c r="D469" s="13" t="str">
        <f>IFERROR(VLOOKUP(C469,[1]Sheet1!$A$1:$C$41,2,0),"Merchant Not Found")</f>
        <v>Merchant_036</v>
      </c>
      <c r="E469" s="7">
        <v>46025.227083333302</v>
      </c>
      <c r="F469">
        <v>99</v>
      </c>
      <c r="G469" s="8" t="s">
        <v>42</v>
      </c>
      <c r="H469" s="8" t="s">
        <v>40</v>
      </c>
      <c r="I469">
        <v>71</v>
      </c>
      <c r="J469" s="9">
        <f t="shared" si="14"/>
        <v>46025</v>
      </c>
      <c r="K469" s="10">
        <f>INDEX(Daily_Merchant_Pivot!$B$3:$AO$32,MATCH(J469,Daily_Merchant_Pivot!$A$3:$A$32,0),MATCH(C469,Daily_Merchant_Pivot!$B$2:$AO$2,0))</f>
        <v>248</v>
      </c>
      <c r="L469" s="3" t="str">
        <f>INDEX(Merchant_Region_Map!$D$3:$D$42,MATCH(C469,Merchant_Region_Map!$A$3:$A$42,0))</f>
        <v>East</v>
      </c>
      <c r="M469" s="11" t="str">
        <f t="shared" si="15"/>
        <v/>
      </c>
    </row>
    <row r="470" spans="1:13" x14ac:dyDescent="0.25">
      <c r="A470" t="s">
        <v>512</v>
      </c>
      <c r="B470">
        <v>14</v>
      </c>
      <c r="C470">
        <v>6</v>
      </c>
      <c r="D470" s="13" t="str">
        <f>IFERROR(VLOOKUP(C470,[1]Sheet1!$A$1:$C$41,2,0),"Merchant Not Found")</f>
        <v>Merchant_006</v>
      </c>
      <c r="E470" s="7">
        <v>46039.545833333301</v>
      </c>
      <c r="F470">
        <v>799</v>
      </c>
      <c r="G470" s="8" t="s">
        <v>52</v>
      </c>
      <c r="H470" s="8" t="s">
        <v>40</v>
      </c>
      <c r="I470">
        <v>45</v>
      </c>
      <c r="J470" s="9">
        <f t="shared" si="14"/>
        <v>46039</v>
      </c>
      <c r="K470" s="10">
        <f>INDEX(Daily_Merchant_Pivot!$B$3:$AO$32,MATCH(J470,Daily_Merchant_Pivot!$A$3:$A$32,0),MATCH(C470,Daily_Merchant_Pivot!$B$2:$AO$2,0))</f>
        <v>799</v>
      </c>
      <c r="L470" s="3" t="str">
        <f>INDEX(Merchant_Region_Map!$D$3:$D$42,MATCH(C470,Merchant_Region_Map!$A$3:$A$42,0))</f>
        <v>South</v>
      </c>
      <c r="M470" s="11" t="str">
        <f t="shared" si="15"/>
        <v/>
      </c>
    </row>
    <row r="471" spans="1:13" x14ac:dyDescent="0.25">
      <c r="A471" t="s">
        <v>513</v>
      </c>
      <c r="B471">
        <v>307</v>
      </c>
      <c r="C471">
        <v>21</v>
      </c>
      <c r="D471" s="13" t="str">
        <f>IFERROR(VLOOKUP(C471,[1]Sheet1!$A$1:$C$41,2,0),"Merchant Not Found")</f>
        <v>Merchant_021</v>
      </c>
      <c r="E471" s="7">
        <v>46040.109722222202</v>
      </c>
      <c r="F471">
        <v>799</v>
      </c>
      <c r="G471" s="8" t="s">
        <v>39</v>
      </c>
      <c r="H471" s="8" t="s">
        <v>40</v>
      </c>
      <c r="I471">
        <v>49</v>
      </c>
      <c r="J471" s="9">
        <f t="shared" si="14"/>
        <v>46040</v>
      </c>
      <c r="K471" s="10">
        <f>INDEX(Daily_Merchant_Pivot!$B$3:$AO$32,MATCH(J471,Daily_Merchant_Pivot!$A$3:$A$32,0),MATCH(C471,Daily_Merchant_Pivot!$B$2:$AO$2,0))</f>
        <v>799</v>
      </c>
      <c r="L471" s="3" t="str">
        <f>INDEX(Merchant_Region_Map!$D$3:$D$42,MATCH(C471,Merchant_Region_Map!$A$3:$A$42,0))</f>
        <v>East</v>
      </c>
      <c r="M471" s="11" t="str">
        <f t="shared" si="15"/>
        <v/>
      </c>
    </row>
    <row r="472" spans="1:13" x14ac:dyDescent="0.25">
      <c r="A472" t="s">
        <v>514</v>
      </c>
      <c r="B472">
        <v>199</v>
      </c>
      <c r="C472">
        <v>6</v>
      </c>
      <c r="D472" s="13" t="str">
        <f>IFERROR(VLOOKUP(C472,[1]Sheet1!$A$1:$C$41,2,0),"Merchant Not Found")</f>
        <v>Merchant_006</v>
      </c>
      <c r="E472" s="7">
        <v>46023.3930555556</v>
      </c>
      <c r="F472">
        <v>149</v>
      </c>
      <c r="G472" s="8" t="s">
        <v>39</v>
      </c>
      <c r="H472" s="8" t="s">
        <v>40</v>
      </c>
      <c r="I472">
        <v>92</v>
      </c>
      <c r="J472" s="9">
        <f t="shared" si="14"/>
        <v>46023</v>
      </c>
      <c r="K472" s="10">
        <f>INDEX(Daily_Merchant_Pivot!$B$3:$AO$32,MATCH(J472,Daily_Merchant_Pivot!$A$3:$A$32,0),MATCH(C472,Daily_Merchant_Pivot!$B$2:$AO$2,0))</f>
        <v>149</v>
      </c>
      <c r="L472" s="3" t="str">
        <f>INDEX(Merchant_Region_Map!$D$3:$D$42,MATCH(C472,Merchant_Region_Map!$A$3:$A$42,0))</f>
        <v>South</v>
      </c>
      <c r="M472" s="11" t="str">
        <f t="shared" si="15"/>
        <v/>
      </c>
    </row>
    <row r="473" spans="1:13" x14ac:dyDescent="0.25">
      <c r="A473" t="s">
        <v>515</v>
      </c>
      <c r="B473">
        <v>125</v>
      </c>
      <c r="C473">
        <v>37</v>
      </c>
      <c r="D473" s="13" t="str">
        <f>IFERROR(VLOOKUP(C473,[1]Sheet1!$A$1:$C$41,2,0),"Merchant Not Found")</f>
        <v>Merchant_037</v>
      </c>
      <c r="E473" s="7">
        <v>46051.747916666704</v>
      </c>
      <c r="F473">
        <v>149</v>
      </c>
      <c r="G473" s="8" t="s">
        <v>42</v>
      </c>
      <c r="H473" s="8" t="s">
        <v>40</v>
      </c>
      <c r="I473">
        <v>66</v>
      </c>
      <c r="J473" s="9">
        <f t="shared" si="14"/>
        <v>46051</v>
      </c>
      <c r="K473" s="10">
        <f>INDEX(Daily_Merchant_Pivot!$B$3:$AO$32,MATCH(J473,Daily_Merchant_Pivot!$A$3:$A$32,0),MATCH(C473,Daily_Merchant_Pivot!$B$2:$AO$2,0))</f>
        <v>149</v>
      </c>
      <c r="L473" s="3" t="str">
        <f>INDEX(Merchant_Region_Map!$D$3:$D$42,MATCH(C473,Merchant_Region_Map!$A$3:$A$42,0))</f>
        <v>South</v>
      </c>
      <c r="M473" s="11" t="str">
        <f t="shared" si="15"/>
        <v/>
      </c>
    </row>
    <row r="474" spans="1:13" x14ac:dyDescent="0.25">
      <c r="A474" t="s">
        <v>516</v>
      </c>
      <c r="B474">
        <v>87</v>
      </c>
      <c r="C474">
        <v>9</v>
      </c>
      <c r="D474" s="13" t="str">
        <f>IFERROR(VLOOKUP(C474,[1]Sheet1!$A$1:$C$41,2,0),"Merchant Not Found")</f>
        <v>Merchant_009</v>
      </c>
      <c r="E474" s="7">
        <v>46028.891666666699</v>
      </c>
      <c r="F474">
        <v>149</v>
      </c>
      <c r="G474" s="8" t="s">
        <v>39</v>
      </c>
      <c r="H474" s="8" t="s">
        <v>40</v>
      </c>
      <c r="I474">
        <v>34</v>
      </c>
      <c r="J474" s="9">
        <f t="shared" si="14"/>
        <v>46028</v>
      </c>
      <c r="K474" s="10">
        <f>INDEX(Daily_Merchant_Pivot!$B$3:$AO$32,MATCH(J474,Daily_Merchant_Pivot!$A$3:$A$32,0),MATCH(C474,Daily_Merchant_Pivot!$B$2:$AO$2,0))</f>
        <v>149</v>
      </c>
      <c r="L474" s="3" t="str">
        <f>INDEX(Merchant_Region_Map!$D$3:$D$42,MATCH(C474,Merchant_Region_Map!$A$3:$A$42,0))</f>
        <v>North</v>
      </c>
      <c r="M474" s="11" t="str">
        <f t="shared" si="15"/>
        <v/>
      </c>
    </row>
    <row r="475" spans="1:13" x14ac:dyDescent="0.25">
      <c r="A475" t="s">
        <v>517</v>
      </c>
      <c r="B475">
        <v>75</v>
      </c>
      <c r="C475">
        <v>5</v>
      </c>
      <c r="D475" s="13" t="str">
        <f>IFERROR(VLOOKUP(C475,[1]Sheet1!$A$1:$C$41,2,0),"Merchant Not Found")</f>
        <v>Merchant_005</v>
      </c>
      <c r="E475" s="7">
        <v>46032.354861111096</v>
      </c>
      <c r="F475">
        <v>99</v>
      </c>
      <c r="G475" s="8" t="s">
        <v>39</v>
      </c>
      <c r="H475" s="8" t="s">
        <v>40</v>
      </c>
      <c r="I475">
        <v>21</v>
      </c>
      <c r="J475" s="9">
        <f t="shared" si="14"/>
        <v>46032</v>
      </c>
      <c r="K475" s="10">
        <f>INDEX(Daily_Merchant_Pivot!$B$3:$AO$32,MATCH(J475,Daily_Merchant_Pivot!$A$3:$A$32,0),MATCH(C475,Daily_Merchant_Pivot!$B$2:$AO$2,0))</f>
        <v>99</v>
      </c>
      <c r="L475" s="3" t="str">
        <f>INDEX(Merchant_Region_Map!$D$3:$D$42,MATCH(C475,Merchant_Region_Map!$A$3:$A$42,0))</f>
        <v>South</v>
      </c>
      <c r="M475" s="11" t="str">
        <f t="shared" si="15"/>
        <v/>
      </c>
    </row>
    <row r="476" spans="1:13" x14ac:dyDescent="0.25">
      <c r="A476" t="s">
        <v>518</v>
      </c>
      <c r="B476">
        <v>154</v>
      </c>
      <c r="C476">
        <v>31</v>
      </c>
      <c r="D476" s="13" t="str">
        <f>IFERROR(VLOOKUP(C476,[1]Sheet1!$A$1:$C$41,2,0),"Merchant Not Found")</f>
        <v>Merchant_031</v>
      </c>
      <c r="E476" s="7">
        <v>46036.351388888899</v>
      </c>
      <c r="F476">
        <v>499</v>
      </c>
      <c r="G476" s="8" t="s">
        <v>42</v>
      </c>
      <c r="H476" s="8" t="s">
        <v>40</v>
      </c>
      <c r="I476">
        <v>100</v>
      </c>
      <c r="J476" s="9">
        <f t="shared" si="14"/>
        <v>46036</v>
      </c>
      <c r="K476" s="10">
        <f>INDEX(Daily_Merchant_Pivot!$B$3:$AO$32,MATCH(J476,Daily_Merchant_Pivot!$A$3:$A$32,0),MATCH(C476,Daily_Merchant_Pivot!$B$2:$AO$2,0))</f>
        <v>499</v>
      </c>
      <c r="L476" s="3" t="str">
        <f>INDEX(Merchant_Region_Map!$D$3:$D$42,MATCH(C476,Merchant_Region_Map!$A$3:$A$42,0))</f>
        <v>East</v>
      </c>
      <c r="M476" s="11" t="str">
        <f t="shared" si="15"/>
        <v/>
      </c>
    </row>
    <row r="477" spans="1:13" x14ac:dyDescent="0.25">
      <c r="A477" t="s">
        <v>519</v>
      </c>
      <c r="B477">
        <v>127</v>
      </c>
      <c r="C477">
        <v>32</v>
      </c>
      <c r="D477" s="13" t="str">
        <f>IFERROR(VLOOKUP(C477,[1]Sheet1!$A$1:$C$41,2,0),"Merchant Not Found")</f>
        <v>Merchant_032</v>
      </c>
      <c r="E477" s="7">
        <v>46025.469444444498</v>
      </c>
      <c r="F477">
        <v>149</v>
      </c>
      <c r="G477" s="8" t="s">
        <v>52</v>
      </c>
      <c r="H477" s="8" t="s">
        <v>40</v>
      </c>
      <c r="I477">
        <v>76</v>
      </c>
      <c r="J477" s="9">
        <f t="shared" si="14"/>
        <v>46025</v>
      </c>
      <c r="K477" s="10">
        <f>INDEX(Daily_Merchant_Pivot!$B$3:$AO$32,MATCH(J477,Daily_Merchant_Pivot!$A$3:$A$32,0),MATCH(C477,Daily_Merchant_Pivot!$B$2:$AO$2,0))</f>
        <v>149</v>
      </c>
      <c r="L477" s="3" t="str">
        <f>INDEX(Merchant_Region_Map!$D$3:$D$42,MATCH(C477,Merchant_Region_Map!$A$3:$A$42,0))</f>
        <v>West</v>
      </c>
      <c r="M477" s="11" t="str">
        <f t="shared" si="15"/>
        <v/>
      </c>
    </row>
    <row r="478" spans="1:13" x14ac:dyDescent="0.25">
      <c r="A478" t="s">
        <v>520</v>
      </c>
      <c r="B478">
        <v>351</v>
      </c>
      <c r="C478">
        <v>7</v>
      </c>
      <c r="D478" s="13" t="str">
        <f>IFERROR(VLOOKUP(C478,[1]Sheet1!$A$1:$C$41,2,0),"Merchant Not Found")</f>
        <v>Merchant_007</v>
      </c>
      <c r="E478" s="7">
        <v>46052.25</v>
      </c>
      <c r="F478">
        <v>1999</v>
      </c>
      <c r="G478" s="8" t="s">
        <v>52</v>
      </c>
      <c r="H478" s="8" t="s">
        <v>66</v>
      </c>
      <c r="I478">
        <v>79</v>
      </c>
      <c r="J478" s="9">
        <f t="shared" si="14"/>
        <v>46052</v>
      </c>
      <c r="K478" s="10">
        <f>INDEX(Daily_Merchant_Pivot!$B$3:$AO$32,MATCH(J478,Daily_Merchant_Pivot!$A$3:$A$32,0),MATCH(C478,Daily_Merchant_Pivot!$B$2:$AO$2,0))</f>
        <v>0</v>
      </c>
      <c r="L478" s="3" t="str">
        <f>INDEX(Merchant_Region_Map!$D$3:$D$42,MATCH(C478,Merchant_Region_Map!$A$3:$A$42,0))</f>
        <v>East</v>
      </c>
      <c r="M478" s="11" t="str">
        <f t="shared" si="15"/>
        <v/>
      </c>
    </row>
    <row r="479" spans="1:13" x14ac:dyDescent="0.25">
      <c r="A479" t="s">
        <v>521</v>
      </c>
      <c r="B479">
        <v>353</v>
      </c>
      <c r="C479">
        <v>28</v>
      </c>
      <c r="D479" s="13" t="str">
        <f>IFERROR(VLOOKUP(C479,[1]Sheet1!$A$1:$C$41,2,0),"Merchant Not Found")</f>
        <v>Merchant_028</v>
      </c>
      <c r="E479" s="7">
        <v>46043.583333333299</v>
      </c>
      <c r="F479">
        <v>1999</v>
      </c>
      <c r="G479" s="8" t="s">
        <v>52</v>
      </c>
      <c r="H479" s="8" t="s">
        <v>66</v>
      </c>
      <c r="I479">
        <v>79</v>
      </c>
      <c r="J479" s="9">
        <f t="shared" si="14"/>
        <v>46043</v>
      </c>
      <c r="K479" s="10">
        <f>INDEX(Daily_Merchant_Pivot!$B$3:$AO$32,MATCH(J479,Daily_Merchant_Pivot!$A$3:$A$32,0),MATCH(C479,Daily_Merchant_Pivot!$B$2:$AO$2,0))</f>
        <v>0</v>
      </c>
      <c r="L479" s="3" t="str">
        <f>INDEX(Merchant_Region_Map!$D$3:$D$42,MATCH(C479,Merchant_Region_Map!$A$3:$A$42,0))</f>
        <v>South</v>
      </c>
      <c r="M479" s="11" t="str">
        <f t="shared" si="15"/>
        <v/>
      </c>
    </row>
    <row r="480" spans="1:13" x14ac:dyDescent="0.25">
      <c r="A480" t="s">
        <v>522</v>
      </c>
      <c r="B480">
        <v>354</v>
      </c>
      <c r="C480">
        <v>13</v>
      </c>
      <c r="D480" s="13" t="str">
        <f>IFERROR(VLOOKUP(C480,[1]Sheet1!$A$1:$C$41,2,0),"Merchant Not Found")</f>
        <v>Merchant_013</v>
      </c>
      <c r="E480" s="7">
        <v>46043.791666666701</v>
      </c>
      <c r="F480">
        <v>4999</v>
      </c>
      <c r="G480" s="8" t="s">
        <v>52</v>
      </c>
      <c r="H480" s="8" t="s">
        <v>66</v>
      </c>
      <c r="I480">
        <v>80</v>
      </c>
      <c r="J480" s="9">
        <f t="shared" si="14"/>
        <v>46043</v>
      </c>
      <c r="K480" s="10">
        <f>INDEX(Daily_Merchant_Pivot!$B$3:$AO$32,MATCH(J480,Daily_Merchant_Pivot!$A$3:$A$32,0),MATCH(C480,Daily_Merchant_Pivot!$B$2:$AO$2,0))</f>
        <v>0</v>
      </c>
      <c r="L480" s="3" t="str">
        <f>INDEX(Merchant_Region_Map!$D$3:$D$42,MATCH(C480,Merchant_Region_Map!$A$3:$A$42,0))</f>
        <v>East</v>
      </c>
      <c r="M480" s="11" t="str">
        <f t="shared" si="15"/>
        <v/>
      </c>
    </row>
    <row r="481" spans="1:13" x14ac:dyDescent="0.25">
      <c r="A481" t="s">
        <v>523</v>
      </c>
      <c r="B481">
        <v>355</v>
      </c>
      <c r="C481">
        <v>19</v>
      </c>
      <c r="D481" s="13" t="str">
        <f>IFERROR(VLOOKUP(C481,[1]Sheet1!$A$1:$C$41,2,0),"Merchant Not Found")</f>
        <v>Merchant_019</v>
      </c>
      <c r="E481" s="7">
        <v>46038.5</v>
      </c>
      <c r="F481">
        <v>4999</v>
      </c>
      <c r="G481" s="8" t="s">
        <v>52</v>
      </c>
      <c r="H481" s="8" t="s">
        <v>66</v>
      </c>
      <c r="I481">
        <v>100</v>
      </c>
      <c r="J481" s="9">
        <f t="shared" si="14"/>
        <v>46038</v>
      </c>
      <c r="K481" s="10">
        <f>INDEX(Daily_Merchant_Pivot!$B$3:$AO$32,MATCH(J481,Daily_Merchant_Pivot!$A$3:$A$32,0),MATCH(C481,Daily_Merchant_Pivot!$B$2:$AO$2,0))</f>
        <v>0</v>
      </c>
      <c r="L481" s="3" t="str">
        <f>INDEX(Merchant_Region_Map!$D$3:$D$42,MATCH(C481,Merchant_Region_Map!$A$3:$A$42,0))</f>
        <v>North</v>
      </c>
      <c r="M481" s="11" t="str">
        <f t="shared" si="15"/>
        <v/>
      </c>
    </row>
    <row r="482" spans="1:13" x14ac:dyDescent="0.25">
      <c r="A482" t="s">
        <v>524</v>
      </c>
      <c r="B482">
        <v>356</v>
      </c>
      <c r="C482">
        <v>25</v>
      </c>
      <c r="D482" s="13" t="str">
        <f>IFERROR(VLOOKUP(C482,[1]Sheet1!$A$1:$C$41,2,0),"Merchant Not Found")</f>
        <v>Merchant_025</v>
      </c>
      <c r="E482" s="7">
        <v>46051.291666666701</v>
      </c>
      <c r="F482">
        <v>2999</v>
      </c>
      <c r="G482" s="8" t="s">
        <v>52</v>
      </c>
      <c r="H482" s="8" t="s">
        <v>66</v>
      </c>
      <c r="I482">
        <v>96</v>
      </c>
      <c r="J482" s="9">
        <f t="shared" si="14"/>
        <v>46051</v>
      </c>
      <c r="K482" s="10">
        <f>INDEX(Daily_Merchant_Pivot!$B$3:$AO$32,MATCH(J482,Daily_Merchant_Pivot!$A$3:$A$32,0),MATCH(C482,Daily_Merchant_Pivot!$B$2:$AO$2,0))</f>
        <v>49</v>
      </c>
      <c r="L482" s="3" t="str">
        <f>INDEX(Merchant_Region_Map!$D$3:$D$42,MATCH(C482,Merchant_Region_Map!$A$3:$A$42,0))</f>
        <v>South</v>
      </c>
      <c r="M482" s="11" t="str">
        <f t="shared" si="15"/>
        <v/>
      </c>
    </row>
    <row r="483" spans="1:13" x14ac:dyDescent="0.25">
      <c r="A483" t="s">
        <v>525</v>
      </c>
      <c r="B483">
        <v>357</v>
      </c>
      <c r="C483">
        <v>37</v>
      </c>
      <c r="D483" s="13" t="str">
        <f>IFERROR(VLOOKUP(C483,[1]Sheet1!$A$1:$C$41,2,0),"Merchant Not Found")</f>
        <v>Merchant_037</v>
      </c>
      <c r="E483" s="7">
        <v>46045.458333333299</v>
      </c>
      <c r="F483">
        <v>1999</v>
      </c>
      <c r="G483" s="8" t="s">
        <v>52</v>
      </c>
      <c r="H483" s="8" t="s">
        <v>66</v>
      </c>
      <c r="I483">
        <v>88</v>
      </c>
      <c r="J483" s="9">
        <f t="shared" si="14"/>
        <v>46045</v>
      </c>
      <c r="K483" s="10">
        <f>INDEX(Daily_Merchant_Pivot!$B$3:$AO$32,MATCH(J483,Daily_Merchant_Pivot!$A$3:$A$32,0),MATCH(C483,Daily_Merchant_Pivot!$B$2:$AO$2,0))</f>
        <v>0</v>
      </c>
      <c r="L483" s="3" t="str">
        <f>INDEX(Merchant_Region_Map!$D$3:$D$42,MATCH(C483,Merchant_Region_Map!$A$3:$A$42,0))</f>
        <v>South</v>
      </c>
      <c r="M483" s="11" t="str">
        <f t="shared" si="15"/>
        <v/>
      </c>
    </row>
    <row r="484" spans="1:13" x14ac:dyDescent="0.25">
      <c r="A484" t="s">
        <v>526</v>
      </c>
      <c r="B484">
        <v>358</v>
      </c>
      <c r="C484">
        <v>36</v>
      </c>
      <c r="D484" s="13" t="str">
        <f>IFERROR(VLOOKUP(C484,[1]Sheet1!$A$1:$C$41,2,0),"Merchant Not Found")</f>
        <v>Merchant_036</v>
      </c>
      <c r="E484" s="7">
        <v>46050.208333333299</v>
      </c>
      <c r="F484">
        <v>999</v>
      </c>
      <c r="G484" s="8" t="s">
        <v>52</v>
      </c>
      <c r="H484" s="8" t="s">
        <v>66</v>
      </c>
      <c r="I484">
        <v>100</v>
      </c>
      <c r="J484" s="9">
        <f t="shared" si="14"/>
        <v>46050</v>
      </c>
      <c r="K484" s="10">
        <f>INDEX(Daily_Merchant_Pivot!$B$3:$AO$32,MATCH(J484,Daily_Merchant_Pivot!$A$3:$A$32,0),MATCH(C484,Daily_Merchant_Pivot!$B$2:$AO$2,0))</f>
        <v>0</v>
      </c>
      <c r="L484" s="3" t="str">
        <f>INDEX(Merchant_Region_Map!$D$3:$D$42,MATCH(C484,Merchant_Region_Map!$A$3:$A$42,0))</f>
        <v>East</v>
      </c>
      <c r="M484" s="11" t="str">
        <f t="shared" si="15"/>
        <v/>
      </c>
    </row>
    <row r="485" spans="1:13" x14ac:dyDescent="0.25">
      <c r="A485" t="s">
        <v>527</v>
      </c>
      <c r="B485">
        <v>359</v>
      </c>
      <c r="C485">
        <v>29</v>
      </c>
      <c r="D485" s="13" t="str">
        <f>IFERROR(VLOOKUP(C485,[1]Sheet1!$A$1:$C$41,2,0),"Merchant Not Found")</f>
        <v>Merchant_029</v>
      </c>
      <c r="E485" s="7">
        <v>46047.916666666701</v>
      </c>
      <c r="F485">
        <v>2999</v>
      </c>
      <c r="G485" s="8" t="s">
        <v>52</v>
      </c>
      <c r="H485" s="8" t="s">
        <v>53</v>
      </c>
      <c r="I485">
        <v>96</v>
      </c>
      <c r="J485" s="9">
        <f t="shared" si="14"/>
        <v>46047</v>
      </c>
      <c r="K485" s="10">
        <f>INDEX(Daily_Merchant_Pivot!$B$3:$AO$32,MATCH(J485,Daily_Merchant_Pivot!$A$3:$A$32,0),MATCH(C485,Daily_Merchant_Pivot!$B$2:$AO$2,0))</f>
        <v>299</v>
      </c>
      <c r="L485" s="3" t="str">
        <f>INDEX(Merchant_Region_Map!$D$3:$D$42,MATCH(C485,Merchant_Region_Map!$A$3:$A$42,0))</f>
        <v>North</v>
      </c>
      <c r="M485" s="11" t="str">
        <f t="shared" si="15"/>
        <v/>
      </c>
    </row>
    <row r="486" spans="1:13" x14ac:dyDescent="0.25">
      <c r="A486" t="s">
        <v>528</v>
      </c>
      <c r="B486">
        <v>360</v>
      </c>
      <c r="C486">
        <v>32</v>
      </c>
      <c r="D486" s="13" t="str">
        <f>IFERROR(VLOOKUP(C486,[1]Sheet1!$A$1:$C$41,2,0),"Merchant Not Found")</f>
        <v>Merchant_032</v>
      </c>
      <c r="E486" s="7">
        <v>46035.541666666701</v>
      </c>
      <c r="F486">
        <v>1999</v>
      </c>
      <c r="G486" s="8" t="s">
        <v>52</v>
      </c>
      <c r="H486" s="8" t="s">
        <v>66</v>
      </c>
      <c r="I486">
        <v>90</v>
      </c>
      <c r="J486" s="9">
        <f t="shared" si="14"/>
        <v>46035</v>
      </c>
      <c r="K486" s="10">
        <f>INDEX(Daily_Merchant_Pivot!$B$3:$AO$32,MATCH(J486,Daily_Merchant_Pivot!$A$3:$A$32,0),MATCH(C486,Daily_Merchant_Pivot!$B$2:$AO$2,0))</f>
        <v>0</v>
      </c>
      <c r="L486" s="3" t="str">
        <f>INDEX(Merchant_Region_Map!$D$3:$D$42,MATCH(C486,Merchant_Region_Map!$A$3:$A$42,0))</f>
        <v>West</v>
      </c>
      <c r="M486" s="11" t="str">
        <f t="shared" si="15"/>
        <v/>
      </c>
    </row>
    <row r="487" spans="1:13" x14ac:dyDescent="0.25">
      <c r="A487" t="s">
        <v>529</v>
      </c>
      <c r="B487">
        <v>361</v>
      </c>
      <c r="C487">
        <v>10</v>
      </c>
      <c r="D487" s="13" t="str">
        <f>IFERROR(VLOOKUP(C487,[1]Sheet1!$A$1:$C$41,2,0),"Merchant Not Found")</f>
        <v>Merchant_010</v>
      </c>
      <c r="E487" s="7">
        <v>46042.291666666701</v>
      </c>
      <c r="F487">
        <v>4999</v>
      </c>
      <c r="G487" s="8" t="s">
        <v>52</v>
      </c>
      <c r="H487" s="8" t="s">
        <v>66</v>
      </c>
      <c r="I487">
        <v>95</v>
      </c>
      <c r="J487" s="9">
        <f t="shared" si="14"/>
        <v>46042</v>
      </c>
      <c r="K487" s="10">
        <f>INDEX(Daily_Merchant_Pivot!$B$3:$AO$32,MATCH(J487,Daily_Merchant_Pivot!$A$3:$A$32,0),MATCH(C487,Daily_Merchant_Pivot!$B$2:$AO$2,0))</f>
        <v>0</v>
      </c>
      <c r="L487" s="3" t="str">
        <f>INDEX(Merchant_Region_Map!$D$3:$D$42,MATCH(C487,Merchant_Region_Map!$A$3:$A$42,0))</f>
        <v>West</v>
      </c>
      <c r="M487" s="11" t="str">
        <f t="shared" si="15"/>
        <v/>
      </c>
    </row>
    <row r="488" spans="1:13" x14ac:dyDescent="0.25">
      <c r="A488" t="s">
        <v>530</v>
      </c>
      <c r="B488">
        <v>362</v>
      </c>
      <c r="C488">
        <v>39</v>
      </c>
      <c r="D488" s="13" t="str">
        <f>IFERROR(VLOOKUP(C488,[1]Sheet1!$A$1:$C$41,2,0),"Merchant Not Found")</f>
        <v>Merchant_039</v>
      </c>
      <c r="E488" s="7">
        <v>46045.083333333299</v>
      </c>
      <c r="F488">
        <v>4999</v>
      </c>
      <c r="G488" s="8" t="s">
        <v>52</v>
      </c>
      <c r="H488" s="8" t="s">
        <v>66</v>
      </c>
      <c r="I488">
        <v>88</v>
      </c>
      <c r="J488" s="9">
        <f t="shared" si="14"/>
        <v>46045</v>
      </c>
      <c r="K488" s="10">
        <f>INDEX(Daily_Merchant_Pivot!$B$3:$AO$32,MATCH(J488,Daily_Merchant_Pivot!$A$3:$A$32,0),MATCH(C488,Daily_Merchant_Pivot!$B$2:$AO$2,0))</f>
        <v>0</v>
      </c>
      <c r="L488" s="3" t="str">
        <f>INDEX(Merchant_Region_Map!$D$3:$D$42,MATCH(C488,Merchant_Region_Map!$A$3:$A$42,0))</f>
        <v>North</v>
      </c>
      <c r="M488" s="11" t="str">
        <f t="shared" si="15"/>
        <v/>
      </c>
    </row>
    <row r="489" spans="1:13" x14ac:dyDescent="0.25">
      <c r="A489" t="s">
        <v>531</v>
      </c>
      <c r="B489">
        <v>363</v>
      </c>
      <c r="C489">
        <v>27</v>
      </c>
      <c r="D489" s="13" t="str">
        <f>IFERROR(VLOOKUP(C489,[1]Sheet1!$A$1:$C$41,2,0),"Merchant Not Found")</f>
        <v>Merchant_027</v>
      </c>
      <c r="E489" s="7">
        <v>46045.708333333299</v>
      </c>
      <c r="F489">
        <v>999</v>
      </c>
      <c r="G489" s="8" t="s">
        <v>52</v>
      </c>
      <c r="H489" s="8" t="s">
        <v>66</v>
      </c>
      <c r="I489">
        <v>95</v>
      </c>
      <c r="J489" s="9">
        <f t="shared" si="14"/>
        <v>46045</v>
      </c>
      <c r="K489" s="10">
        <f>INDEX(Daily_Merchant_Pivot!$B$3:$AO$32,MATCH(J489,Daily_Merchant_Pivot!$A$3:$A$32,0),MATCH(C489,Daily_Merchant_Pivot!$B$2:$AO$2,0))</f>
        <v>2999</v>
      </c>
      <c r="L489" s="3" t="str">
        <f>INDEX(Merchant_Region_Map!$D$3:$D$42,MATCH(C489,Merchant_Region_Map!$A$3:$A$42,0))</f>
        <v>North</v>
      </c>
      <c r="M489" s="11" t="str">
        <f t="shared" si="15"/>
        <v/>
      </c>
    </row>
    <row r="490" spans="1:13" x14ac:dyDescent="0.25">
      <c r="A490" t="s">
        <v>532</v>
      </c>
      <c r="B490">
        <v>364</v>
      </c>
      <c r="C490">
        <v>39</v>
      </c>
      <c r="D490" s="13" t="str">
        <f>IFERROR(VLOOKUP(C490,[1]Sheet1!$A$1:$C$41,2,0),"Merchant Not Found")</f>
        <v>Merchant_039</v>
      </c>
      <c r="E490" s="7">
        <v>46044.916666666701</v>
      </c>
      <c r="F490">
        <v>999</v>
      </c>
      <c r="G490" s="8" t="s">
        <v>52</v>
      </c>
      <c r="H490" s="8" t="s">
        <v>66</v>
      </c>
      <c r="I490">
        <v>73</v>
      </c>
      <c r="J490" s="9">
        <f t="shared" si="14"/>
        <v>46044</v>
      </c>
      <c r="K490" s="10">
        <f>INDEX(Daily_Merchant_Pivot!$B$3:$AO$32,MATCH(J490,Daily_Merchant_Pivot!$A$3:$A$32,0),MATCH(C490,Daily_Merchant_Pivot!$B$2:$AO$2,0))</f>
        <v>799</v>
      </c>
      <c r="L490" s="3" t="str">
        <f>INDEX(Merchant_Region_Map!$D$3:$D$42,MATCH(C490,Merchant_Region_Map!$A$3:$A$42,0))</f>
        <v>North</v>
      </c>
      <c r="M490" s="11" t="str">
        <f t="shared" si="15"/>
        <v/>
      </c>
    </row>
    <row r="491" spans="1:13" x14ac:dyDescent="0.25">
      <c r="A491" t="s">
        <v>533</v>
      </c>
      <c r="B491">
        <v>365</v>
      </c>
      <c r="C491">
        <v>23</v>
      </c>
      <c r="D491" s="13" t="str">
        <f>IFERROR(VLOOKUP(C491,[1]Sheet1!$A$1:$C$41,2,0),"Merchant Not Found")</f>
        <v>Merchant_023</v>
      </c>
      <c r="E491" s="7">
        <v>46040.875</v>
      </c>
      <c r="F491">
        <v>1999</v>
      </c>
      <c r="G491" s="8" t="s">
        <v>52</v>
      </c>
      <c r="H491" s="8" t="s">
        <v>66</v>
      </c>
      <c r="I491">
        <v>90</v>
      </c>
      <c r="J491" s="9">
        <f t="shared" si="14"/>
        <v>46040</v>
      </c>
      <c r="K491" s="10">
        <f>INDEX(Daily_Merchant_Pivot!$B$3:$AO$32,MATCH(J491,Daily_Merchant_Pivot!$A$3:$A$32,0),MATCH(C491,Daily_Merchant_Pivot!$B$2:$AO$2,0))</f>
        <v>0</v>
      </c>
      <c r="L491" s="3" t="str">
        <f>INDEX(Merchant_Region_Map!$D$3:$D$42,MATCH(C491,Merchant_Region_Map!$A$3:$A$42,0))</f>
        <v>North</v>
      </c>
      <c r="M491" s="11" t="str">
        <f t="shared" si="15"/>
        <v/>
      </c>
    </row>
    <row r="492" spans="1:13" x14ac:dyDescent="0.25">
      <c r="A492" t="s">
        <v>534</v>
      </c>
      <c r="B492">
        <v>314</v>
      </c>
      <c r="C492">
        <v>26</v>
      </c>
      <c r="D492" s="13" t="str">
        <f>IFERROR(VLOOKUP(C492,[1]Sheet1!$A$1:$C$41,2,0),"Merchant Not Found")</f>
        <v>Merchant_026</v>
      </c>
      <c r="E492" s="7">
        <v>46024.75</v>
      </c>
      <c r="F492">
        <v>399</v>
      </c>
      <c r="G492" s="8" t="s">
        <v>52</v>
      </c>
      <c r="H492" s="8" t="s">
        <v>53</v>
      </c>
      <c r="I492">
        <v>87</v>
      </c>
      <c r="J492" s="9">
        <f t="shared" si="14"/>
        <v>46024</v>
      </c>
      <c r="K492" s="10">
        <f>INDEX(Daily_Merchant_Pivot!$B$3:$AO$32,MATCH(J492,Daily_Merchant_Pivot!$A$3:$A$32,0),MATCH(C492,Daily_Merchant_Pivot!$B$2:$AO$2,0))</f>
        <v>0</v>
      </c>
      <c r="L492" s="3" t="str">
        <f>INDEX(Merchant_Region_Map!$D$3:$D$42,MATCH(C492,Merchant_Region_Map!$A$3:$A$42,0))</f>
        <v>East</v>
      </c>
      <c r="M492" s="11" t="str">
        <f t="shared" si="15"/>
        <v/>
      </c>
    </row>
    <row r="493" spans="1:13" x14ac:dyDescent="0.25">
      <c r="A493" t="s">
        <v>535</v>
      </c>
      <c r="B493">
        <v>314</v>
      </c>
      <c r="C493">
        <v>7</v>
      </c>
      <c r="D493" s="13" t="str">
        <f>IFERROR(VLOOKUP(C493,[1]Sheet1!$A$1:$C$41,2,0),"Merchant Not Found")</f>
        <v>Merchant_007</v>
      </c>
      <c r="E493" s="7">
        <v>46024.750694444498</v>
      </c>
      <c r="F493">
        <v>299</v>
      </c>
      <c r="G493" s="8" t="s">
        <v>52</v>
      </c>
      <c r="H493" s="8" t="s">
        <v>53</v>
      </c>
      <c r="I493">
        <v>66</v>
      </c>
      <c r="J493" s="9">
        <f t="shared" si="14"/>
        <v>46024</v>
      </c>
      <c r="K493" s="10">
        <f>INDEX(Daily_Merchant_Pivot!$B$3:$AO$32,MATCH(J493,Daily_Merchant_Pivot!$A$3:$A$32,0),MATCH(C493,Daily_Merchant_Pivot!$B$2:$AO$2,0))</f>
        <v>2999</v>
      </c>
      <c r="L493" s="3" t="str">
        <f>INDEX(Merchant_Region_Map!$D$3:$D$42,MATCH(C493,Merchant_Region_Map!$A$3:$A$42,0))</f>
        <v>East</v>
      </c>
      <c r="M493" s="11" t="str">
        <f t="shared" si="15"/>
        <v/>
      </c>
    </row>
    <row r="494" spans="1:13" x14ac:dyDescent="0.25">
      <c r="A494" t="s">
        <v>536</v>
      </c>
      <c r="B494">
        <v>314</v>
      </c>
      <c r="C494">
        <v>17</v>
      </c>
      <c r="D494" s="13" t="str">
        <f>IFERROR(VLOOKUP(C494,[1]Sheet1!$A$1:$C$41,2,0),"Merchant Not Found")</f>
        <v>Merchant_017</v>
      </c>
      <c r="E494" s="7">
        <v>46024.751388888901</v>
      </c>
      <c r="F494">
        <v>299</v>
      </c>
      <c r="G494" s="8" t="s">
        <v>52</v>
      </c>
      <c r="H494" s="8" t="s">
        <v>53</v>
      </c>
      <c r="I494">
        <v>92</v>
      </c>
      <c r="J494" s="9">
        <f t="shared" si="14"/>
        <v>46024</v>
      </c>
      <c r="K494" s="10">
        <f>INDEX(Daily_Merchant_Pivot!$B$3:$AO$32,MATCH(J494,Daily_Merchant_Pivot!$A$3:$A$32,0),MATCH(C494,Daily_Merchant_Pivot!$B$2:$AO$2,0))</f>
        <v>0</v>
      </c>
      <c r="L494" s="3" t="str">
        <f>INDEX(Merchant_Region_Map!$D$3:$D$42,MATCH(C494,Merchant_Region_Map!$A$3:$A$42,0))</f>
        <v>North</v>
      </c>
      <c r="M494" s="11" t="str">
        <f t="shared" si="15"/>
        <v/>
      </c>
    </row>
    <row r="495" spans="1:13" x14ac:dyDescent="0.25">
      <c r="A495" t="s">
        <v>537</v>
      </c>
      <c r="B495">
        <v>314</v>
      </c>
      <c r="C495">
        <v>34</v>
      </c>
      <c r="D495" s="13" t="str">
        <f>IFERROR(VLOOKUP(C495,[1]Sheet1!$A$1:$C$41,2,0),"Merchant Not Found")</f>
        <v>Merchant_034</v>
      </c>
      <c r="E495" s="7">
        <v>46024.752083333296</v>
      </c>
      <c r="F495">
        <v>499</v>
      </c>
      <c r="G495" s="8" t="s">
        <v>52</v>
      </c>
      <c r="H495" s="8" t="s">
        <v>40</v>
      </c>
      <c r="I495">
        <v>74</v>
      </c>
      <c r="J495" s="9">
        <f t="shared" si="14"/>
        <v>46024</v>
      </c>
      <c r="K495" s="10">
        <f>INDEX(Daily_Merchant_Pivot!$B$3:$AO$32,MATCH(J495,Daily_Merchant_Pivot!$A$3:$A$32,0),MATCH(C495,Daily_Merchant_Pivot!$B$2:$AO$2,0))</f>
        <v>548</v>
      </c>
      <c r="L495" s="3" t="str">
        <f>INDEX(Merchant_Region_Map!$D$3:$D$42,MATCH(C495,Merchant_Region_Map!$A$3:$A$42,0))</f>
        <v>South</v>
      </c>
      <c r="M495" s="11" t="str">
        <f t="shared" si="15"/>
        <v/>
      </c>
    </row>
    <row r="496" spans="1:13" x14ac:dyDescent="0.25">
      <c r="A496" t="s">
        <v>538</v>
      </c>
      <c r="B496">
        <v>229</v>
      </c>
      <c r="C496">
        <v>30</v>
      </c>
      <c r="D496" s="13" t="str">
        <f>IFERROR(VLOOKUP(C496,[1]Sheet1!$A$1:$C$41,2,0),"Merchant Not Found")</f>
        <v>Merchant_030</v>
      </c>
      <c r="E496" s="7">
        <v>46034.5</v>
      </c>
      <c r="F496">
        <v>499</v>
      </c>
      <c r="G496" s="8" t="s">
        <v>52</v>
      </c>
      <c r="H496" s="8" t="s">
        <v>53</v>
      </c>
      <c r="I496">
        <v>92</v>
      </c>
      <c r="J496" s="9">
        <f t="shared" si="14"/>
        <v>46034</v>
      </c>
      <c r="K496" s="10">
        <f>INDEX(Daily_Merchant_Pivot!$B$3:$AO$32,MATCH(J496,Daily_Merchant_Pivot!$A$3:$A$32,0),MATCH(C496,Daily_Merchant_Pivot!$B$2:$AO$2,0))</f>
        <v>0</v>
      </c>
      <c r="L496" s="3" t="str">
        <f>INDEX(Merchant_Region_Map!$D$3:$D$42,MATCH(C496,Merchant_Region_Map!$A$3:$A$42,0))</f>
        <v>West</v>
      </c>
      <c r="M496" s="11" t="str">
        <f t="shared" si="15"/>
        <v/>
      </c>
    </row>
    <row r="497" spans="1:13" x14ac:dyDescent="0.25">
      <c r="A497" t="s">
        <v>539</v>
      </c>
      <c r="B497">
        <v>229</v>
      </c>
      <c r="C497">
        <v>10</v>
      </c>
      <c r="D497" s="13" t="str">
        <f>IFERROR(VLOOKUP(C497,[1]Sheet1!$A$1:$C$41,2,0),"Merchant Not Found")</f>
        <v>Merchant_010</v>
      </c>
      <c r="E497" s="7">
        <v>46034.500694444498</v>
      </c>
      <c r="F497">
        <v>399</v>
      </c>
      <c r="G497" s="8" t="s">
        <v>52</v>
      </c>
      <c r="H497" s="8" t="s">
        <v>53</v>
      </c>
      <c r="I497">
        <v>61</v>
      </c>
      <c r="J497" s="9">
        <f t="shared" si="14"/>
        <v>46034</v>
      </c>
      <c r="K497" s="10">
        <f>INDEX(Daily_Merchant_Pivot!$B$3:$AO$32,MATCH(J497,Daily_Merchant_Pivot!$A$3:$A$32,0),MATCH(C497,Daily_Merchant_Pivot!$B$2:$AO$2,0))</f>
        <v>0</v>
      </c>
      <c r="L497" s="3" t="str">
        <f>INDEX(Merchant_Region_Map!$D$3:$D$42,MATCH(C497,Merchant_Region_Map!$A$3:$A$42,0))</f>
        <v>West</v>
      </c>
      <c r="M497" s="11" t="str">
        <f t="shared" si="15"/>
        <v/>
      </c>
    </row>
    <row r="498" spans="1:13" x14ac:dyDescent="0.25">
      <c r="A498" t="s">
        <v>540</v>
      </c>
      <c r="B498">
        <v>229</v>
      </c>
      <c r="C498">
        <v>31</v>
      </c>
      <c r="D498" s="13" t="str">
        <f>IFERROR(VLOOKUP(C498,[1]Sheet1!$A$1:$C$41,2,0),"Merchant Not Found")</f>
        <v>Merchant_031</v>
      </c>
      <c r="E498" s="7">
        <v>46034.501388888901</v>
      </c>
      <c r="F498">
        <v>299</v>
      </c>
      <c r="G498" s="8" t="s">
        <v>52</v>
      </c>
      <c r="H498" s="8" t="s">
        <v>53</v>
      </c>
      <c r="I498">
        <v>78</v>
      </c>
      <c r="J498" s="9">
        <f t="shared" si="14"/>
        <v>46034</v>
      </c>
      <c r="K498" s="10">
        <f>INDEX(Daily_Merchant_Pivot!$B$3:$AO$32,MATCH(J498,Daily_Merchant_Pivot!$A$3:$A$32,0),MATCH(C498,Daily_Merchant_Pivot!$B$2:$AO$2,0))</f>
        <v>0</v>
      </c>
      <c r="L498" s="3" t="str">
        <f>INDEX(Merchant_Region_Map!$D$3:$D$42,MATCH(C498,Merchant_Region_Map!$A$3:$A$42,0))</f>
        <v>East</v>
      </c>
      <c r="M498" s="11" t="str">
        <f t="shared" si="15"/>
        <v/>
      </c>
    </row>
    <row r="499" spans="1:13" x14ac:dyDescent="0.25">
      <c r="A499" t="s">
        <v>541</v>
      </c>
      <c r="B499">
        <v>229</v>
      </c>
      <c r="C499">
        <v>27</v>
      </c>
      <c r="D499" s="13" t="str">
        <f>IFERROR(VLOOKUP(C499,[1]Sheet1!$A$1:$C$41,2,0),"Merchant Not Found")</f>
        <v>Merchant_027</v>
      </c>
      <c r="E499" s="7">
        <v>46034.502083333296</v>
      </c>
      <c r="F499">
        <v>299</v>
      </c>
      <c r="G499" s="8" t="s">
        <v>52</v>
      </c>
      <c r="H499" s="8" t="s">
        <v>40</v>
      </c>
      <c r="I499">
        <v>67</v>
      </c>
      <c r="J499" s="9">
        <f t="shared" si="14"/>
        <v>46034</v>
      </c>
      <c r="K499" s="10">
        <f>INDEX(Daily_Merchant_Pivot!$B$3:$AO$32,MATCH(J499,Daily_Merchant_Pivot!$A$3:$A$32,0),MATCH(C499,Daily_Merchant_Pivot!$B$2:$AO$2,0))</f>
        <v>299</v>
      </c>
      <c r="L499" s="3" t="str">
        <f>INDEX(Merchant_Region_Map!$D$3:$D$42,MATCH(C499,Merchant_Region_Map!$A$3:$A$42,0))</f>
        <v>North</v>
      </c>
      <c r="M499" s="11" t="str">
        <f t="shared" si="15"/>
        <v/>
      </c>
    </row>
    <row r="500" spans="1:13" x14ac:dyDescent="0.25">
      <c r="A500" t="s">
        <v>542</v>
      </c>
      <c r="B500">
        <v>73</v>
      </c>
      <c r="C500">
        <v>22</v>
      </c>
      <c r="D500" s="13" t="str">
        <f>IFERROR(VLOOKUP(C500,[1]Sheet1!$A$1:$C$41,2,0),"Merchant Not Found")</f>
        <v>Merchant_022</v>
      </c>
      <c r="E500" s="7">
        <v>46034.375</v>
      </c>
      <c r="F500">
        <v>399</v>
      </c>
      <c r="G500" s="8" t="s">
        <v>52</v>
      </c>
      <c r="H500" s="8" t="s">
        <v>53</v>
      </c>
      <c r="I500">
        <v>73</v>
      </c>
      <c r="J500" s="9">
        <f t="shared" si="14"/>
        <v>46034</v>
      </c>
      <c r="K500" s="10">
        <f>INDEX(Daily_Merchant_Pivot!$B$3:$AO$32,MATCH(J500,Daily_Merchant_Pivot!$A$3:$A$32,0),MATCH(C500,Daily_Merchant_Pivot!$B$2:$AO$2,0))</f>
        <v>1298</v>
      </c>
      <c r="L500" s="3" t="str">
        <f>INDEX(Merchant_Region_Map!$D$3:$D$42,MATCH(C500,Merchant_Region_Map!$A$3:$A$42,0))</f>
        <v>South</v>
      </c>
      <c r="M500" s="11" t="str">
        <f t="shared" si="15"/>
        <v/>
      </c>
    </row>
    <row r="501" spans="1:13" x14ac:dyDescent="0.25">
      <c r="A501" t="s">
        <v>543</v>
      </c>
      <c r="B501">
        <v>73</v>
      </c>
      <c r="C501">
        <v>34</v>
      </c>
      <c r="D501" s="13" t="str">
        <f>IFERROR(VLOOKUP(C501,[1]Sheet1!$A$1:$C$41,2,0),"Merchant Not Found")</f>
        <v>Merchant_034</v>
      </c>
      <c r="E501" s="7">
        <v>46034.375694444498</v>
      </c>
      <c r="F501">
        <v>399</v>
      </c>
      <c r="G501" s="8" t="s">
        <v>52</v>
      </c>
      <c r="H501" s="8" t="s">
        <v>53</v>
      </c>
      <c r="I501">
        <v>82</v>
      </c>
      <c r="J501" s="9">
        <f t="shared" si="14"/>
        <v>46034</v>
      </c>
      <c r="K501" s="10">
        <f>INDEX(Daily_Merchant_Pivot!$B$3:$AO$32,MATCH(J501,Daily_Merchant_Pivot!$A$3:$A$32,0),MATCH(C501,Daily_Merchant_Pivot!$B$2:$AO$2,0))</f>
        <v>0</v>
      </c>
      <c r="L501" s="3" t="str">
        <f>INDEX(Merchant_Region_Map!$D$3:$D$42,MATCH(C501,Merchant_Region_Map!$A$3:$A$42,0))</f>
        <v>South</v>
      </c>
      <c r="M501" s="11" t="str">
        <f t="shared" si="15"/>
        <v/>
      </c>
    </row>
    <row r="502" spans="1:13" x14ac:dyDescent="0.25">
      <c r="A502" t="s">
        <v>544</v>
      </c>
      <c r="B502">
        <v>73</v>
      </c>
      <c r="C502">
        <v>31</v>
      </c>
      <c r="D502" s="13" t="str">
        <f>IFERROR(VLOOKUP(C502,[1]Sheet1!$A$1:$C$41,2,0),"Merchant Not Found")</f>
        <v>Merchant_031</v>
      </c>
      <c r="E502" s="7">
        <v>46034.376388888901</v>
      </c>
      <c r="F502">
        <v>299</v>
      </c>
      <c r="G502" s="8" t="s">
        <v>52</v>
      </c>
      <c r="H502" s="8" t="s">
        <v>53</v>
      </c>
      <c r="I502">
        <v>88</v>
      </c>
      <c r="J502" s="9">
        <f t="shared" si="14"/>
        <v>46034</v>
      </c>
      <c r="K502" s="10">
        <f>INDEX(Daily_Merchant_Pivot!$B$3:$AO$32,MATCH(J502,Daily_Merchant_Pivot!$A$3:$A$32,0),MATCH(C502,Daily_Merchant_Pivot!$B$2:$AO$2,0))</f>
        <v>0</v>
      </c>
      <c r="L502" s="3" t="str">
        <f>INDEX(Merchant_Region_Map!$D$3:$D$42,MATCH(C502,Merchant_Region_Map!$A$3:$A$42,0))</f>
        <v>East</v>
      </c>
      <c r="M502" s="11" t="str">
        <f t="shared" si="15"/>
        <v/>
      </c>
    </row>
    <row r="503" spans="1:13" x14ac:dyDescent="0.25">
      <c r="A503" t="s">
        <v>545</v>
      </c>
      <c r="B503">
        <v>73</v>
      </c>
      <c r="C503">
        <v>29</v>
      </c>
      <c r="D503" s="13" t="str">
        <f>IFERROR(VLOOKUP(C503,[1]Sheet1!$A$1:$C$41,2,0),"Merchant Not Found")</f>
        <v>Merchant_029</v>
      </c>
      <c r="E503" s="7">
        <v>46034.377083333296</v>
      </c>
      <c r="F503">
        <v>399</v>
      </c>
      <c r="G503" s="8" t="s">
        <v>52</v>
      </c>
      <c r="H503" s="8" t="s">
        <v>40</v>
      </c>
      <c r="I503">
        <v>64</v>
      </c>
      <c r="J503" s="9">
        <f t="shared" si="14"/>
        <v>46034</v>
      </c>
      <c r="K503" s="10">
        <f>INDEX(Daily_Merchant_Pivot!$B$3:$AO$32,MATCH(J503,Daily_Merchant_Pivot!$A$3:$A$32,0),MATCH(C503,Daily_Merchant_Pivot!$B$2:$AO$2,0))</f>
        <v>399</v>
      </c>
      <c r="L503" s="3" t="str">
        <f>INDEX(Merchant_Region_Map!$D$3:$D$42,MATCH(C503,Merchant_Region_Map!$A$3:$A$42,0))</f>
        <v>North</v>
      </c>
      <c r="M503" s="11" t="str">
        <f t="shared" si="15"/>
        <v/>
      </c>
    </row>
    <row r="504" spans="1:13" x14ac:dyDescent="0.25">
      <c r="A504" t="s">
        <v>546</v>
      </c>
      <c r="B504">
        <v>154</v>
      </c>
      <c r="C504">
        <v>8</v>
      </c>
      <c r="D504" s="13" t="str">
        <f>IFERROR(VLOOKUP(C504,[1]Sheet1!$A$1:$C$41,2,0),"Merchant Not Found")</f>
        <v>Merchant_008</v>
      </c>
      <c r="E504" s="7">
        <v>46024.916666666701</v>
      </c>
      <c r="F504">
        <v>299</v>
      </c>
      <c r="G504" s="8" t="s">
        <v>52</v>
      </c>
      <c r="H504" s="8" t="s">
        <v>53</v>
      </c>
      <c r="I504">
        <v>81</v>
      </c>
      <c r="J504" s="9">
        <f t="shared" si="14"/>
        <v>46024</v>
      </c>
      <c r="K504" s="10">
        <f>INDEX(Daily_Merchant_Pivot!$B$3:$AO$32,MATCH(J504,Daily_Merchant_Pivot!$A$3:$A$32,0),MATCH(C504,Daily_Merchant_Pivot!$B$2:$AO$2,0))</f>
        <v>0</v>
      </c>
      <c r="L504" s="3" t="str">
        <f>INDEX(Merchant_Region_Map!$D$3:$D$42,MATCH(C504,Merchant_Region_Map!$A$3:$A$42,0))</f>
        <v>North</v>
      </c>
      <c r="M504" s="11" t="str">
        <f t="shared" si="15"/>
        <v/>
      </c>
    </row>
    <row r="505" spans="1:13" x14ac:dyDescent="0.25">
      <c r="A505" t="s">
        <v>547</v>
      </c>
      <c r="B505">
        <v>154</v>
      </c>
      <c r="C505">
        <v>7</v>
      </c>
      <c r="D505" s="13" t="str">
        <f>IFERROR(VLOOKUP(C505,[1]Sheet1!$A$1:$C$41,2,0),"Merchant Not Found")</f>
        <v>Merchant_007</v>
      </c>
      <c r="E505" s="7">
        <v>46024.917361111096</v>
      </c>
      <c r="F505">
        <v>499</v>
      </c>
      <c r="G505" s="8" t="s">
        <v>52</v>
      </c>
      <c r="H505" s="8" t="s">
        <v>53</v>
      </c>
      <c r="I505">
        <v>70</v>
      </c>
      <c r="J505" s="9">
        <f t="shared" si="14"/>
        <v>46024</v>
      </c>
      <c r="K505" s="10">
        <f>INDEX(Daily_Merchant_Pivot!$B$3:$AO$32,MATCH(J505,Daily_Merchant_Pivot!$A$3:$A$32,0),MATCH(C505,Daily_Merchant_Pivot!$B$2:$AO$2,0))</f>
        <v>2999</v>
      </c>
      <c r="L505" s="3" t="str">
        <f>INDEX(Merchant_Region_Map!$D$3:$D$42,MATCH(C505,Merchant_Region_Map!$A$3:$A$42,0))</f>
        <v>East</v>
      </c>
      <c r="M505" s="11" t="str">
        <f t="shared" si="15"/>
        <v/>
      </c>
    </row>
    <row r="506" spans="1:13" x14ac:dyDescent="0.25">
      <c r="A506" t="s">
        <v>548</v>
      </c>
      <c r="B506">
        <v>154</v>
      </c>
      <c r="C506">
        <v>16</v>
      </c>
      <c r="D506" s="13" t="str">
        <f>IFERROR(VLOOKUP(C506,[1]Sheet1!$A$1:$C$41,2,0),"Merchant Not Found")</f>
        <v>Merchant_016</v>
      </c>
      <c r="E506" s="7">
        <v>46024.918055555601</v>
      </c>
      <c r="F506">
        <v>499</v>
      </c>
      <c r="G506" s="8" t="s">
        <v>52</v>
      </c>
      <c r="H506" s="8" t="s">
        <v>53</v>
      </c>
      <c r="I506">
        <v>71</v>
      </c>
      <c r="J506" s="9">
        <f t="shared" si="14"/>
        <v>46024</v>
      </c>
      <c r="K506" s="10">
        <f>INDEX(Daily_Merchant_Pivot!$B$3:$AO$32,MATCH(J506,Daily_Merchant_Pivot!$A$3:$A$32,0),MATCH(C506,Daily_Merchant_Pivot!$B$2:$AO$2,0))</f>
        <v>0</v>
      </c>
      <c r="L506" s="3" t="str">
        <f>INDEX(Merchant_Region_Map!$D$3:$D$42,MATCH(C506,Merchant_Region_Map!$A$3:$A$42,0))</f>
        <v>West</v>
      </c>
      <c r="M506" s="11" t="str">
        <f t="shared" si="15"/>
        <v/>
      </c>
    </row>
    <row r="507" spans="1:13" x14ac:dyDescent="0.25">
      <c r="A507" t="s">
        <v>549</v>
      </c>
      <c r="B507">
        <v>154</v>
      </c>
      <c r="C507">
        <v>36</v>
      </c>
      <c r="D507" s="13" t="str">
        <f>IFERROR(VLOOKUP(C507,[1]Sheet1!$A$1:$C$41,2,0),"Merchant Not Found")</f>
        <v>Merchant_036</v>
      </c>
      <c r="E507" s="7">
        <v>46024.918749999997</v>
      </c>
      <c r="F507">
        <v>299</v>
      </c>
      <c r="G507" s="8" t="s">
        <v>52</v>
      </c>
      <c r="H507" s="8" t="s">
        <v>40</v>
      </c>
      <c r="I507">
        <v>81</v>
      </c>
      <c r="J507" s="9">
        <f t="shared" si="14"/>
        <v>46024</v>
      </c>
      <c r="K507" s="10">
        <f>INDEX(Daily_Merchant_Pivot!$B$3:$AO$32,MATCH(J507,Daily_Merchant_Pivot!$A$3:$A$32,0),MATCH(C507,Daily_Merchant_Pivot!$B$2:$AO$2,0))</f>
        <v>299</v>
      </c>
      <c r="L507" s="3" t="str">
        <f>INDEX(Merchant_Region_Map!$D$3:$D$42,MATCH(C507,Merchant_Region_Map!$A$3:$A$42,0))</f>
        <v>East</v>
      </c>
      <c r="M507" s="11" t="str">
        <f t="shared" si="15"/>
        <v/>
      </c>
    </row>
    <row r="508" spans="1:13" x14ac:dyDescent="0.25">
      <c r="A508" t="s">
        <v>550</v>
      </c>
      <c r="B508">
        <v>287</v>
      </c>
      <c r="C508">
        <v>15</v>
      </c>
      <c r="D508" s="13" t="str">
        <f>IFERROR(VLOOKUP(C508,[1]Sheet1!$A$1:$C$41,2,0),"Merchant Not Found")</f>
        <v>Merchant_015</v>
      </c>
      <c r="E508" s="7">
        <v>46036.583333333299</v>
      </c>
      <c r="F508">
        <v>399</v>
      </c>
      <c r="G508" s="8" t="s">
        <v>52</v>
      </c>
      <c r="H508" s="8" t="s">
        <v>53</v>
      </c>
      <c r="I508">
        <v>71</v>
      </c>
      <c r="J508" s="9">
        <f t="shared" si="14"/>
        <v>46036</v>
      </c>
      <c r="K508" s="10">
        <f>INDEX(Daily_Merchant_Pivot!$B$3:$AO$32,MATCH(J508,Daily_Merchant_Pivot!$A$3:$A$32,0),MATCH(C508,Daily_Merchant_Pivot!$B$2:$AO$2,0))</f>
        <v>0</v>
      </c>
      <c r="L508" s="3" t="str">
        <f>INDEX(Merchant_Region_Map!$D$3:$D$42,MATCH(C508,Merchant_Region_Map!$A$3:$A$42,0))</f>
        <v>North</v>
      </c>
      <c r="M508" s="11" t="str">
        <f t="shared" si="15"/>
        <v/>
      </c>
    </row>
    <row r="509" spans="1:13" x14ac:dyDescent="0.25">
      <c r="A509" t="s">
        <v>551</v>
      </c>
      <c r="B509">
        <v>287</v>
      </c>
      <c r="C509">
        <v>12</v>
      </c>
      <c r="D509" s="13" t="str">
        <f>IFERROR(VLOOKUP(C509,[1]Sheet1!$A$1:$C$41,2,0),"Merchant Not Found")</f>
        <v>Merchant_012</v>
      </c>
      <c r="E509" s="7">
        <v>46036.584027777797</v>
      </c>
      <c r="F509">
        <v>499</v>
      </c>
      <c r="G509" s="8" t="s">
        <v>52</v>
      </c>
      <c r="H509" s="8" t="s">
        <v>53</v>
      </c>
      <c r="I509">
        <v>87</v>
      </c>
      <c r="J509" s="9">
        <f t="shared" si="14"/>
        <v>46036</v>
      </c>
      <c r="K509" s="10">
        <f>INDEX(Daily_Merchant_Pivot!$B$3:$AO$32,MATCH(J509,Daily_Merchant_Pivot!$A$3:$A$32,0),MATCH(C509,Daily_Merchant_Pivot!$B$2:$AO$2,0))</f>
        <v>49</v>
      </c>
      <c r="L509" s="3" t="str">
        <f>INDEX(Merchant_Region_Map!$D$3:$D$42,MATCH(C509,Merchant_Region_Map!$A$3:$A$42,0))</f>
        <v>East</v>
      </c>
      <c r="M509" s="11" t="str">
        <f t="shared" si="15"/>
        <v/>
      </c>
    </row>
    <row r="510" spans="1:13" x14ac:dyDescent="0.25">
      <c r="A510" t="s">
        <v>552</v>
      </c>
      <c r="B510">
        <v>287</v>
      </c>
      <c r="C510">
        <v>26</v>
      </c>
      <c r="D510" s="13" t="str">
        <f>IFERROR(VLOOKUP(C510,[1]Sheet1!$A$1:$C$41,2,0),"Merchant Not Found")</f>
        <v>Merchant_026</v>
      </c>
      <c r="E510" s="7">
        <v>46036.5847222222</v>
      </c>
      <c r="F510">
        <v>299</v>
      </c>
      <c r="G510" s="8" t="s">
        <v>52</v>
      </c>
      <c r="H510" s="8" t="s">
        <v>53</v>
      </c>
      <c r="I510">
        <v>72</v>
      </c>
      <c r="J510" s="9">
        <f t="shared" si="14"/>
        <v>46036</v>
      </c>
      <c r="K510" s="10">
        <f>INDEX(Daily_Merchant_Pivot!$B$3:$AO$32,MATCH(J510,Daily_Merchant_Pivot!$A$3:$A$32,0),MATCH(C510,Daily_Merchant_Pivot!$B$2:$AO$2,0))</f>
        <v>0</v>
      </c>
      <c r="L510" s="3" t="str">
        <f>INDEX(Merchant_Region_Map!$D$3:$D$42,MATCH(C510,Merchant_Region_Map!$A$3:$A$42,0))</f>
        <v>East</v>
      </c>
      <c r="M510" s="11" t="str">
        <f t="shared" si="15"/>
        <v/>
      </c>
    </row>
    <row r="511" spans="1:13" x14ac:dyDescent="0.25">
      <c r="A511" t="s">
        <v>553</v>
      </c>
      <c r="B511">
        <v>287</v>
      </c>
      <c r="C511">
        <v>29</v>
      </c>
      <c r="D511" s="13" t="str">
        <f>IFERROR(VLOOKUP(C511,[1]Sheet1!$A$1:$C$41,2,0),"Merchant Not Found")</f>
        <v>Merchant_029</v>
      </c>
      <c r="E511" s="7">
        <v>46036.585416666698</v>
      </c>
      <c r="F511">
        <v>499</v>
      </c>
      <c r="G511" s="8" t="s">
        <v>52</v>
      </c>
      <c r="H511" s="8" t="s">
        <v>40</v>
      </c>
      <c r="I511">
        <v>87</v>
      </c>
      <c r="J511" s="9">
        <f t="shared" si="14"/>
        <v>46036</v>
      </c>
      <c r="K511" s="10">
        <f>INDEX(Daily_Merchant_Pivot!$B$3:$AO$32,MATCH(J511,Daily_Merchant_Pivot!$A$3:$A$32,0),MATCH(C511,Daily_Merchant_Pivot!$B$2:$AO$2,0))</f>
        <v>1998</v>
      </c>
      <c r="L511" s="3" t="str">
        <f>INDEX(Merchant_Region_Map!$D$3:$D$42,MATCH(C511,Merchant_Region_Map!$A$3:$A$42,0))</f>
        <v>North</v>
      </c>
      <c r="M511" s="11" t="str">
        <f t="shared" si="15"/>
        <v/>
      </c>
    </row>
    <row r="512" spans="1:13" x14ac:dyDescent="0.25">
      <c r="A512" t="s">
        <v>554</v>
      </c>
      <c r="B512">
        <v>200</v>
      </c>
      <c r="C512">
        <v>14</v>
      </c>
      <c r="D512" s="13" t="str">
        <f>IFERROR(VLOOKUP(C512,[1]Sheet1!$A$1:$C$41,2,0),"Merchant Not Found")</f>
        <v>Merchant_014</v>
      </c>
      <c r="E512" s="7">
        <v>46023.916666666701</v>
      </c>
      <c r="F512">
        <v>299</v>
      </c>
      <c r="G512" s="8" t="s">
        <v>52</v>
      </c>
      <c r="H512" s="8" t="s">
        <v>53</v>
      </c>
      <c r="I512">
        <v>77</v>
      </c>
      <c r="J512" s="9">
        <f t="shared" si="14"/>
        <v>46023</v>
      </c>
      <c r="K512" s="10">
        <f>INDEX(Daily_Merchant_Pivot!$B$3:$AO$32,MATCH(J512,Daily_Merchant_Pivot!$A$3:$A$32,0),MATCH(C512,Daily_Merchant_Pivot!$B$2:$AO$2,0))</f>
        <v>0</v>
      </c>
      <c r="L512" s="3" t="str">
        <f>INDEX(Merchant_Region_Map!$D$3:$D$42,MATCH(C512,Merchant_Region_Map!$A$3:$A$42,0))</f>
        <v>East</v>
      </c>
      <c r="M512" s="11" t="str">
        <f t="shared" si="15"/>
        <v/>
      </c>
    </row>
    <row r="513" spans="1:13" x14ac:dyDescent="0.25">
      <c r="A513" t="s">
        <v>555</v>
      </c>
      <c r="B513">
        <v>200</v>
      </c>
      <c r="C513">
        <v>5</v>
      </c>
      <c r="D513" s="13" t="str">
        <f>IFERROR(VLOOKUP(C513,[1]Sheet1!$A$1:$C$41,2,0),"Merchant Not Found")</f>
        <v>Merchant_005</v>
      </c>
      <c r="E513" s="7">
        <v>46023.917361111096</v>
      </c>
      <c r="F513">
        <v>499</v>
      </c>
      <c r="G513" s="8" t="s">
        <v>52</v>
      </c>
      <c r="H513" s="8" t="s">
        <v>53</v>
      </c>
      <c r="I513">
        <v>66</v>
      </c>
      <c r="J513" s="9">
        <f t="shared" si="14"/>
        <v>46023</v>
      </c>
      <c r="K513" s="10">
        <f>INDEX(Daily_Merchant_Pivot!$B$3:$AO$32,MATCH(J513,Daily_Merchant_Pivot!$A$3:$A$32,0),MATCH(C513,Daily_Merchant_Pivot!$B$2:$AO$2,0))</f>
        <v>0</v>
      </c>
      <c r="L513" s="3" t="str">
        <f>INDEX(Merchant_Region_Map!$D$3:$D$42,MATCH(C513,Merchant_Region_Map!$A$3:$A$42,0))</f>
        <v>South</v>
      </c>
      <c r="M513" s="11" t="str">
        <f t="shared" si="15"/>
        <v/>
      </c>
    </row>
    <row r="514" spans="1:13" x14ac:dyDescent="0.25">
      <c r="A514" t="s">
        <v>556</v>
      </c>
      <c r="B514">
        <v>200</v>
      </c>
      <c r="C514">
        <v>35</v>
      </c>
      <c r="D514" s="13" t="str">
        <f>IFERROR(VLOOKUP(C514,[1]Sheet1!$A$1:$C$41,2,0),"Merchant Not Found")</f>
        <v>Merchant_035</v>
      </c>
      <c r="E514" s="7">
        <v>46023.918055555601</v>
      </c>
      <c r="F514">
        <v>299</v>
      </c>
      <c r="G514" s="8" t="s">
        <v>52</v>
      </c>
      <c r="H514" s="8" t="s">
        <v>53</v>
      </c>
      <c r="I514">
        <v>83</v>
      </c>
      <c r="J514" s="9">
        <f t="shared" si="14"/>
        <v>46023</v>
      </c>
      <c r="K514" s="10">
        <f>INDEX(Daily_Merchant_Pivot!$B$3:$AO$32,MATCH(J514,Daily_Merchant_Pivot!$A$3:$A$32,0),MATCH(C514,Daily_Merchant_Pivot!$B$2:$AO$2,0))</f>
        <v>499</v>
      </c>
      <c r="L514" s="3" t="str">
        <f>INDEX(Merchant_Region_Map!$D$3:$D$42,MATCH(C514,Merchant_Region_Map!$A$3:$A$42,0))</f>
        <v>East</v>
      </c>
      <c r="M514" s="11" t="str">
        <f t="shared" si="15"/>
        <v/>
      </c>
    </row>
    <row r="515" spans="1:13" x14ac:dyDescent="0.25">
      <c r="A515" t="s">
        <v>557</v>
      </c>
      <c r="B515">
        <v>200</v>
      </c>
      <c r="C515">
        <v>21</v>
      </c>
      <c r="D515" s="13" t="str">
        <f>IFERROR(VLOOKUP(C515,[1]Sheet1!$A$1:$C$41,2,0),"Merchant Not Found")</f>
        <v>Merchant_021</v>
      </c>
      <c r="E515" s="7">
        <v>46023.918749999997</v>
      </c>
      <c r="F515">
        <v>299</v>
      </c>
      <c r="G515" s="8" t="s">
        <v>52</v>
      </c>
      <c r="H515" s="8" t="s">
        <v>40</v>
      </c>
      <c r="I515">
        <v>89</v>
      </c>
      <c r="J515" s="9">
        <f t="shared" ref="J515:J532" si="16">INT(E515)</f>
        <v>46023</v>
      </c>
      <c r="K515" s="10">
        <f>INDEX(Daily_Merchant_Pivot!$B$3:$AO$32,MATCH(J515,Daily_Merchant_Pivot!$A$3:$A$32,0),MATCH(C515,Daily_Merchant_Pivot!$B$2:$AO$2,0))</f>
        <v>299</v>
      </c>
      <c r="L515" s="3" t="str">
        <f>INDEX(Merchant_Region_Map!$D$3:$D$42,MATCH(C515,Merchant_Region_Map!$A$3:$A$42,0))</f>
        <v>East</v>
      </c>
      <c r="M515" s="11" t="str">
        <f t="shared" ref="M515:M578" si="17">IF(AND(K515&gt;5000,L515&lt;&gt;"East"),"High-Value Merchant Day","")</f>
        <v/>
      </c>
    </row>
    <row r="516" spans="1:13" x14ac:dyDescent="0.25">
      <c r="A516" t="s">
        <v>558</v>
      </c>
      <c r="B516">
        <v>59</v>
      </c>
      <c r="C516">
        <v>32</v>
      </c>
      <c r="D516" s="13" t="str">
        <f>IFERROR(VLOOKUP(C516,[1]Sheet1!$A$1:$C$41,2,0),"Merchant Not Found")</f>
        <v>Merchant_032</v>
      </c>
      <c r="E516" s="7">
        <v>46031.875</v>
      </c>
      <c r="F516">
        <v>499</v>
      </c>
      <c r="G516" s="8" t="s">
        <v>52</v>
      </c>
      <c r="H516" s="8" t="s">
        <v>53</v>
      </c>
      <c r="I516">
        <v>80</v>
      </c>
      <c r="J516" s="9">
        <f t="shared" si="16"/>
        <v>46031</v>
      </c>
      <c r="K516" s="10">
        <f>INDEX(Daily_Merchant_Pivot!$B$3:$AO$32,MATCH(J516,Daily_Merchant_Pivot!$A$3:$A$32,0),MATCH(C516,Daily_Merchant_Pivot!$B$2:$AO$2,0))</f>
        <v>0</v>
      </c>
      <c r="L516" s="3" t="str">
        <f>INDEX(Merchant_Region_Map!$D$3:$D$42,MATCH(C516,Merchant_Region_Map!$A$3:$A$42,0))</f>
        <v>West</v>
      </c>
      <c r="M516" s="11" t="str">
        <f t="shared" si="17"/>
        <v/>
      </c>
    </row>
    <row r="517" spans="1:13" x14ac:dyDescent="0.25">
      <c r="A517" t="s">
        <v>559</v>
      </c>
      <c r="B517">
        <v>59</v>
      </c>
      <c r="C517">
        <v>39</v>
      </c>
      <c r="D517" s="13" t="str">
        <f>IFERROR(VLOOKUP(C517,[1]Sheet1!$A$1:$C$41,2,0),"Merchant Not Found")</f>
        <v>Merchant_039</v>
      </c>
      <c r="E517" s="7">
        <v>46031.875694444498</v>
      </c>
      <c r="F517">
        <v>399</v>
      </c>
      <c r="G517" s="8" t="s">
        <v>52</v>
      </c>
      <c r="H517" s="8" t="s">
        <v>53</v>
      </c>
      <c r="I517">
        <v>85</v>
      </c>
      <c r="J517" s="9">
        <f t="shared" si="16"/>
        <v>46031</v>
      </c>
      <c r="K517" s="10">
        <f>INDEX(Daily_Merchant_Pivot!$B$3:$AO$32,MATCH(J517,Daily_Merchant_Pivot!$A$3:$A$32,0),MATCH(C517,Daily_Merchant_Pivot!$B$2:$AO$2,0))</f>
        <v>0</v>
      </c>
      <c r="L517" s="3" t="str">
        <f>INDEX(Merchant_Region_Map!$D$3:$D$42,MATCH(C517,Merchant_Region_Map!$A$3:$A$42,0))</f>
        <v>North</v>
      </c>
      <c r="M517" s="11" t="str">
        <f t="shared" si="17"/>
        <v/>
      </c>
    </row>
    <row r="518" spans="1:13" x14ac:dyDescent="0.25">
      <c r="A518" t="s">
        <v>560</v>
      </c>
      <c r="B518">
        <v>59</v>
      </c>
      <c r="C518">
        <v>38</v>
      </c>
      <c r="D518" s="13" t="str">
        <f>IFERROR(VLOOKUP(C518,[1]Sheet1!$A$1:$C$41,2,0),"Merchant Not Found")</f>
        <v>Merchant_038</v>
      </c>
      <c r="E518" s="7">
        <v>46031.876388888901</v>
      </c>
      <c r="F518">
        <v>299</v>
      </c>
      <c r="G518" s="8" t="s">
        <v>52</v>
      </c>
      <c r="H518" s="8" t="s">
        <v>53</v>
      </c>
      <c r="I518">
        <v>82</v>
      </c>
      <c r="J518" s="9">
        <f t="shared" si="16"/>
        <v>46031</v>
      </c>
      <c r="K518" s="10">
        <f>INDEX(Daily_Merchant_Pivot!$B$3:$AO$32,MATCH(J518,Daily_Merchant_Pivot!$A$3:$A$32,0),MATCH(C518,Daily_Merchant_Pivot!$B$2:$AO$2,0))</f>
        <v>49</v>
      </c>
      <c r="L518" s="3" t="str">
        <f>INDEX(Merchant_Region_Map!$D$3:$D$42,MATCH(C518,Merchant_Region_Map!$A$3:$A$42,0))</f>
        <v>East</v>
      </c>
      <c r="M518" s="11" t="str">
        <f t="shared" si="17"/>
        <v/>
      </c>
    </row>
    <row r="519" spans="1:13" x14ac:dyDescent="0.25">
      <c r="A519" t="s">
        <v>561</v>
      </c>
      <c r="B519">
        <v>59</v>
      </c>
      <c r="C519">
        <v>23</v>
      </c>
      <c r="D519" s="13" t="str">
        <f>IFERROR(VLOOKUP(C519,[1]Sheet1!$A$1:$C$41,2,0),"Merchant Not Found")</f>
        <v>Merchant_023</v>
      </c>
      <c r="E519" s="7">
        <v>46031.877083333296</v>
      </c>
      <c r="F519">
        <v>399</v>
      </c>
      <c r="G519" s="8" t="s">
        <v>52</v>
      </c>
      <c r="H519" s="8" t="s">
        <v>53</v>
      </c>
      <c r="I519">
        <v>71</v>
      </c>
      <c r="J519" s="9">
        <f t="shared" si="16"/>
        <v>46031</v>
      </c>
      <c r="K519" s="10">
        <f>INDEX(Daily_Merchant_Pivot!$B$3:$AO$32,MATCH(J519,Daily_Merchant_Pivot!$A$3:$A$32,0),MATCH(C519,Daily_Merchant_Pivot!$B$2:$AO$2,0))</f>
        <v>0</v>
      </c>
      <c r="L519" s="3" t="str">
        <f>INDEX(Merchant_Region_Map!$D$3:$D$42,MATCH(C519,Merchant_Region_Map!$A$3:$A$42,0))</f>
        <v>North</v>
      </c>
      <c r="M519" s="11" t="str">
        <f t="shared" si="17"/>
        <v/>
      </c>
    </row>
    <row r="520" spans="1:13" x14ac:dyDescent="0.25">
      <c r="A520" t="s">
        <v>562</v>
      </c>
      <c r="B520">
        <v>345</v>
      </c>
      <c r="C520">
        <v>40</v>
      </c>
      <c r="D520" s="13" t="str">
        <f>IFERROR(VLOOKUP(C520,[1]Sheet1!$A$1:$C$41,2,0),"Merchant Not Found")</f>
        <v>Merchant_040</v>
      </c>
      <c r="E520" s="7">
        <v>46045.375</v>
      </c>
      <c r="F520">
        <v>499</v>
      </c>
      <c r="G520" s="8" t="s">
        <v>52</v>
      </c>
      <c r="H520" s="8" t="s">
        <v>53</v>
      </c>
      <c r="I520">
        <v>65</v>
      </c>
      <c r="J520" s="9">
        <f t="shared" si="16"/>
        <v>46045</v>
      </c>
      <c r="K520" s="10">
        <f>INDEX(Daily_Merchant_Pivot!$B$3:$AO$32,MATCH(J520,Daily_Merchant_Pivot!$A$3:$A$32,0),MATCH(C520,Daily_Merchant_Pivot!$B$2:$AO$2,0))</f>
        <v>99</v>
      </c>
      <c r="L520" s="3" t="str">
        <f>INDEX(Merchant_Region_Map!$D$3:$D$42,MATCH(C520,Merchant_Region_Map!$A$3:$A$42,0))</f>
        <v>South</v>
      </c>
      <c r="M520" s="11" t="str">
        <f t="shared" si="17"/>
        <v/>
      </c>
    </row>
    <row r="521" spans="1:13" x14ac:dyDescent="0.25">
      <c r="A521" t="s">
        <v>563</v>
      </c>
      <c r="B521">
        <v>345</v>
      </c>
      <c r="C521">
        <v>9</v>
      </c>
      <c r="D521" s="13" t="str">
        <f>IFERROR(VLOOKUP(C521,[1]Sheet1!$A$1:$C$41,2,0),"Merchant Not Found")</f>
        <v>Merchant_009</v>
      </c>
      <c r="E521" s="7">
        <v>46045.375694444498</v>
      </c>
      <c r="F521">
        <v>399</v>
      </c>
      <c r="G521" s="8" t="s">
        <v>52</v>
      </c>
      <c r="H521" s="8" t="s">
        <v>53</v>
      </c>
      <c r="I521">
        <v>67</v>
      </c>
      <c r="J521" s="9">
        <f t="shared" si="16"/>
        <v>46045</v>
      </c>
      <c r="K521" s="10">
        <f>INDEX(Daily_Merchant_Pivot!$B$3:$AO$32,MATCH(J521,Daily_Merchant_Pivot!$A$3:$A$32,0),MATCH(C521,Daily_Merchant_Pivot!$B$2:$AO$2,0))</f>
        <v>499</v>
      </c>
      <c r="L521" s="3" t="str">
        <f>INDEX(Merchant_Region_Map!$D$3:$D$42,MATCH(C521,Merchant_Region_Map!$A$3:$A$42,0))</f>
        <v>North</v>
      </c>
      <c r="M521" s="11" t="str">
        <f t="shared" si="17"/>
        <v/>
      </c>
    </row>
    <row r="522" spans="1:13" x14ac:dyDescent="0.25">
      <c r="A522" t="s">
        <v>564</v>
      </c>
      <c r="B522">
        <v>345</v>
      </c>
      <c r="C522">
        <v>12</v>
      </c>
      <c r="D522" s="13" t="str">
        <f>IFERROR(VLOOKUP(C522,[1]Sheet1!$A$1:$C$41,2,0),"Merchant Not Found")</f>
        <v>Merchant_012</v>
      </c>
      <c r="E522" s="7">
        <v>46045.377083333296</v>
      </c>
      <c r="F522">
        <v>399</v>
      </c>
      <c r="G522" s="8" t="s">
        <v>52</v>
      </c>
      <c r="H522" s="8" t="s">
        <v>40</v>
      </c>
      <c r="I522">
        <v>69</v>
      </c>
      <c r="J522" s="9">
        <f t="shared" si="16"/>
        <v>46045</v>
      </c>
      <c r="K522" s="10">
        <f>INDEX(Daily_Merchant_Pivot!$B$3:$AO$32,MATCH(J522,Daily_Merchant_Pivot!$A$3:$A$32,0),MATCH(C522,Daily_Merchant_Pivot!$B$2:$AO$2,0))</f>
        <v>448</v>
      </c>
      <c r="L522" s="3" t="str">
        <f>INDEX(Merchant_Region_Map!$D$3:$D$42,MATCH(C522,Merchant_Region_Map!$A$3:$A$42,0))</f>
        <v>East</v>
      </c>
      <c r="M522" s="11" t="str">
        <f t="shared" si="17"/>
        <v/>
      </c>
    </row>
    <row r="523" spans="1:13" x14ac:dyDescent="0.25">
      <c r="A523" t="s">
        <v>565</v>
      </c>
      <c r="B523">
        <v>262</v>
      </c>
      <c r="C523">
        <v>25</v>
      </c>
      <c r="D523" s="13" t="str">
        <f>IFERROR(VLOOKUP(C523,[1]Sheet1!$A$1:$C$41,2,0),"Merchant Not Found")</f>
        <v>Merchant_025</v>
      </c>
      <c r="E523" s="7">
        <v>46036</v>
      </c>
      <c r="F523">
        <v>149</v>
      </c>
      <c r="G523" s="8" t="s">
        <v>44</v>
      </c>
      <c r="H523" s="8" t="s">
        <v>40</v>
      </c>
      <c r="I523">
        <v>54</v>
      </c>
      <c r="J523" s="9">
        <f t="shared" si="16"/>
        <v>46036</v>
      </c>
      <c r="K523" s="10">
        <f>INDEX(Daily_Merchant_Pivot!$B$3:$AO$32,MATCH(J523,Daily_Merchant_Pivot!$A$3:$A$32,0),MATCH(C523,Daily_Merchant_Pivot!$B$2:$AO$2,0))</f>
        <v>149</v>
      </c>
      <c r="L523" s="3" t="str">
        <f>INDEX(Merchant_Region_Map!$D$3:$D$42,MATCH(C523,Merchant_Region_Map!$A$3:$A$42,0))</f>
        <v>South</v>
      </c>
      <c r="M523" s="11" t="str">
        <f t="shared" si="17"/>
        <v/>
      </c>
    </row>
    <row r="524" spans="1:13" x14ac:dyDescent="0.25">
      <c r="A524" t="s">
        <v>566</v>
      </c>
      <c r="B524">
        <v>96</v>
      </c>
      <c r="C524">
        <v>32</v>
      </c>
      <c r="D524" s="13" t="str">
        <f>IFERROR(VLOOKUP(C524,[1]Sheet1!$A$1:$C$41,2,0),"Merchant Not Found")</f>
        <v>Merchant_032</v>
      </c>
      <c r="E524" s="7">
        <v>46043</v>
      </c>
      <c r="F524">
        <v>4999</v>
      </c>
      <c r="G524" s="8" t="s">
        <v>42</v>
      </c>
      <c r="H524" s="8" t="s">
        <v>40</v>
      </c>
      <c r="I524">
        <v>71</v>
      </c>
      <c r="J524" s="9">
        <f t="shared" si="16"/>
        <v>46043</v>
      </c>
      <c r="K524" s="10">
        <f>INDEX(Daily_Merchant_Pivot!$B$3:$AO$32,MATCH(J524,Daily_Merchant_Pivot!$A$3:$A$32,0),MATCH(C524,Daily_Merchant_Pivot!$B$2:$AO$2,0))</f>
        <v>5347</v>
      </c>
      <c r="L524" s="3" t="str">
        <f>INDEX(Merchant_Region_Map!$D$3:$D$42,MATCH(C524,Merchant_Region_Map!$A$3:$A$42,0))</f>
        <v>West</v>
      </c>
      <c r="M524" s="11" t="str">
        <f t="shared" si="17"/>
        <v>High-Value Merchant Day</v>
      </c>
    </row>
    <row r="525" spans="1:13" x14ac:dyDescent="0.25">
      <c r="A525" t="s">
        <v>567</v>
      </c>
      <c r="B525">
        <v>86</v>
      </c>
      <c r="C525">
        <v>32</v>
      </c>
      <c r="D525" s="13" t="str">
        <f>IFERROR(VLOOKUP(C525,[1]Sheet1!$A$1:$C$41,2,0),"Merchant Not Found")</f>
        <v>Merchant_032</v>
      </c>
      <c r="E525" s="7">
        <v>46032</v>
      </c>
      <c r="F525">
        <v>149</v>
      </c>
      <c r="G525" s="8" t="s">
        <v>42</v>
      </c>
      <c r="H525" s="8" t="s">
        <v>40</v>
      </c>
      <c r="I525">
        <v>40</v>
      </c>
      <c r="J525" s="9">
        <f t="shared" si="16"/>
        <v>46032</v>
      </c>
      <c r="K525" s="10">
        <f>INDEX(Daily_Merchant_Pivot!$B$3:$AO$32,MATCH(J525,Daily_Merchant_Pivot!$A$3:$A$32,0),MATCH(C525,Daily_Merchant_Pivot!$B$2:$AO$2,0))</f>
        <v>149</v>
      </c>
      <c r="L525" s="3" t="str">
        <f>INDEX(Merchant_Region_Map!$D$3:$D$42,MATCH(C525,Merchant_Region_Map!$A$3:$A$42,0))</f>
        <v>West</v>
      </c>
      <c r="M525" s="11" t="str">
        <f t="shared" si="17"/>
        <v/>
      </c>
    </row>
    <row r="526" spans="1:13" x14ac:dyDescent="0.25">
      <c r="A526" t="s">
        <v>568</v>
      </c>
      <c r="B526">
        <v>231</v>
      </c>
      <c r="C526">
        <v>40</v>
      </c>
      <c r="D526" s="13" t="str">
        <f>IFERROR(VLOOKUP(C526,[1]Sheet1!$A$1:$C$41,2,0),"Merchant Not Found")</f>
        <v>Merchant_040</v>
      </c>
      <c r="E526" s="7">
        <v>46024</v>
      </c>
      <c r="F526">
        <v>799</v>
      </c>
      <c r="G526" s="8" t="s">
        <v>39</v>
      </c>
      <c r="H526" s="8" t="s">
        <v>40</v>
      </c>
      <c r="I526">
        <v>62</v>
      </c>
      <c r="J526" s="9">
        <f t="shared" si="16"/>
        <v>46024</v>
      </c>
      <c r="K526" s="10">
        <f>INDEX(Daily_Merchant_Pivot!$B$3:$AO$32,MATCH(J526,Daily_Merchant_Pivot!$A$3:$A$32,0),MATCH(C526,Daily_Merchant_Pivot!$B$2:$AO$2,0))</f>
        <v>799</v>
      </c>
      <c r="L526" s="3" t="str">
        <f>INDEX(Merchant_Region_Map!$D$3:$D$42,MATCH(C526,Merchant_Region_Map!$A$3:$A$42,0))</f>
        <v>South</v>
      </c>
      <c r="M526" s="11" t="str">
        <f t="shared" si="17"/>
        <v/>
      </c>
    </row>
    <row r="527" spans="1:13" x14ac:dyDescent="0.25">
      <c r="A527" t="s">
        <v>569</v>
      </c>
      <c r="B527">
        <v>70</v>
      </c>
      <c r="C527">
        <v>13</v>
      </c>
      <c r="D527" s="13" t="str">
        <f>IFERROR(VLOOKUP(C527,[1]Sheet1!$A$1:$C$41,2,0),"Merchant Not Found")</f>
        <v>Merchant_013</v>
      </c>
      <c r="E527" s="7">
        <v>46049</v>
      </c>
      <c r="F527">
        <v>1499</v>
      </c>
      <c r="G527" s="8" t="s">
        <v>44</v>
      </c>
      <c r="H527" s="8" t="s">
        <v>40</v>
      </c>
      <c r="I527">
        <v>52</v>
      </c>
      <c r="J527" s="9">
        <f t="shared" si="16"/>
        <v>46049</v>
      </c>
      <c r="K527" s="10">
        <f>INDEX(Daily_Merchant_Pivot!$B$3:$AO$32,MATCH(J527,Daily_Merchant_Pivot!$A$3:$A$32,0),MATCH(C527,Daily_Merchant_Pivot!$B$2:$AO$2,0))</f>
        <v>1598</v>
      </c>
      <c r="L527" s="3" t="str">
        <f>INDEX(Merchant_Region_Map!$D$3:$D$42,MATCH(C527,Merchant_Region_Map!$A$3:$A$42,0))</f>
        <v>East</v>
      </c>
      <c r="M527" s="11" t="str">
        <f t="shared" si="17"/>
        <v/>
      </c>
    </row>
    <row r="528" spans="1:13" x14ac:dyDescent="0.25">
      <c r="A528" t="s">
        <v>570</v>
      </c>
      <c r="B528">
        <v>252</v>
      </c>
      <c r="C528">
        <v>27</v>
      </c>
      <c r="D528" s="13" t="str">
        <f>IFERROR(VLOOKUP(C528,[1]Sheet1!$A$1:$C$41,2,0),"Merchant Not Found")</f>
        <v>Merchant_027</v>
      </c>
      <c r="E528" s="7">
        <v>46045</v>
      </c>
      <c r="F528">
        <v>2999</v>
      </c>
      <c r="G528" s="8" t="s">
        <v>44</v>
      </c>
      <c r="H528" s="8" t="s">
        <v>40</v>
      </c>
      <c r="I528">
        <v>21</v>
      </c>
      <c r="J528" s="9">
        <f t="shared" si="16"/>
        <v>46045</v>
      </c>
      <c r="K528" s="10">
        <f>INDEX(Daily_Merchant_Pivot!$B$3:$AO$32,MATCH(J528,Daily_Merchant_Pivot!$A$3:$A$32,0),MATCH(C528,Daily_Merchant_Pivot!$B$2:$AO$2,0))</f>
        <v>2999</v>
      </c>
      <c r="L528" s="3" t="str">
        <f>INDEX(Merchant_Region_Map!$D$3:$D$42,MATCH(C528,Merchant_Region_Map!$A$3:$A$42,0))</f>
        <v>North</v>
      </c>
      <c r="M528" s="11" t="str">
        <f t="shared" si="17"/>
        <v/>
      </c>
    </row>
    <row r="529" spans="1:13" x14ac:dyDescent="0.25">
      <c r="A529" t="s">
        <v>571</v>
      </c>
      <c r="B529">
        <v>43</v>
      </c>
      <c r="C529">
        <v>37</v>
      </c>
      <c r="D529" s="13" t="str">
        <f>IFERROR(VLOOKUP(C529,[1]Sheet1!$A$1:$C$41,2,0),"Merchant Not Found")</f>
        <v>Merchant_037</v>
      </c>
      <c r="E529" s="7">
        <v>46023</v>
      </c>
      <c r="F529">
        <v>299</v>
      </c>
      <c r="G529" s="8" t="s">
        <v>52</v>
      </c>
      <c r="H529" s="8" t="s">
        <v>40</v>
      </c>
      <c r="I529">
        <v>4</v>
      </c>
      <c r="J529" s="9">
        <f t="shared" si="16"/>
        <v>46023</v>
      </c>
      <c r="K529" s="10">
        <f>INDEX(Daily_Merchant_Pivot!$B$3:$AO$32,MATCH(J529,Daily_Merchant_Pivot!$A$3:$A$32,0),MATCH(C529,Daily_Merchant_Pivot!$B$2:$AO$2,0))</f>
        <v>897</v>
      </c>
      <c r="L529" s="3" t="str">
        <f>INDEX(Merchant_Region_Map!$D$3:$D$42,MATCH(C529,Merchant_Region_Map!$A$3:$A$42,0))</f>
        <v>South</v>
      </c>
      <c r="M529" s="11" t="str">
        <f t="shared" si="17"/>
        <v/>
      </c>
    </row>
    <row r="530" spans="1:13" x14ac:dyDescent="0.25">
      <c r="A530" t="s">
        <v>572</v>
      </c>
      <c r="B530">
        <v>141</v>
      </c>
      <c r="C530">
        <v>15</v>
      </c>
      <c r="D530" s="13" t="str">
        <f>IFERROR(VLOOKUP(C530,[1]Sheet1!$A$1:$C$41,2,0),"Merchant Not Found")</f>
        <v>Merchant_015</v>
      </c>
      <c r="E530" s="7">
        <v>46040</v>
      </c>
      <c r="F530">
        <v>499</v>
      </c>
      <c r="G530" s="8" t="s">
        <v>42</v>
      </c>
      <c r="H530" s="8" t="s">
        <v>40</v>
      </c>
      <c r="I530">
        <v>99</v>
      </c>
      <c r="J530" s="9">
        <f t="shared" si="16"/>
        <v>46040</v>
      </c>
      <c r="K530" s="10">
        <f>INDEX(Daily_Merchant_Pivot!$B$3:$AO$32,MATCH(J530,Daily_Merchant_Pivot!$A$3:$A$32,0),MATCH(C530,Daily_Merchant_Pivot!$B$2:$AO$2,0))</f>
        <v>499</v>
      </c>
      <c r="L530" s="3" t="str">
        <f>INDEX(Merchant_Region_Map!$D$3:$D$42,MATCH(C530,Merchant_Region_Map!$A$3:$A$42,0))</f>
        <v>North</v>
      </c>
      <c r="M530" s="11" t="str">
        <f t="shared" si="17"/>
        <v/>
      </c>
    </row>
    <row r="531" spans="1:13" x14ac:dyDescent="0.25">
      <c r="A531" t="s">
        <v>573</v>
      </c>
      <c r="B531">
        <v>235</v>
      </c>
      <c r="C531">
        <v>37</v>
      </c>
      <c r="D531" s="13" t="str">
        <f>IFERROR(VLOOKUP(C531,[1]Sheet1!$A$1:$C$41,2,0),"Merchant Not Found")</f>
        <v>Merchant_037</v>
      </c>
      <c r="E531" s="7">
        <v>46046</v>
      </c>
      <c r="F531">
        <v>2999</v>
      </c>
      <c r="G531" s="8" t="s">
        <v>39</v>
      </c>
      <c r="H531" s="8" t="s">
        <v>40</v>
      </c>
      <c r="I531">
        <v>73</v>
      </c>
      <c r="J531" s="9">
        <f t="shared" si="16"/>
        <v>46046</v>
      </c>
      <c r="K531" s="10">
        <f>INDEX(Daily_Merchant_Pivot!$B$3:$AO$32,MATCH(J531,Daily_Merchant_Pivot!$A$3:$A$32,0),MATCH(C531,Daily_Merchant_Pivot!$B$2:$AO$2,0))</f>
        <v>2999</v>
      </c>
      <c r="L531" s="3" t="str">
        <f>INDEX(Merchant_Region_Map!$D$3:$D$42,MATCH(C531,Merchant_Region_Map!$A$3:$A$42,0))</f>
        <v>South</v>
      </c>
      <c r="M531" s="11" t="str">
        <f t="shared" si="17"/>
        <v/>
      </c>
    </row>
    <row r="532" spans="1:13" x14ac:dyDescent="0.25">
      <c r="A532" t="s">
        <v>574</v>
      </c>
      <c r="B532">
        <v>59</v>
      </c>
      <c r="C532">
        <v>18</v>
      </c>
      <c r="D532" s="13" t="str">
        <f>IFERROR(VLOOKUP(C532,[1]Sheet1!$A$1:$C$41,2,0),"Merchant Not Found")</f>
        <v>Merchant_018</v>
      </c>
      <c r="E532" s="7">
        <v>46047</v>
      </c>
      <c r="F532">
        <v>4999</v>
      </c>
      <c r="G532" s="8" t="s">
        <v>52</v>
      </c>
      <c r="H532" s="8" t="s">
        <v>40</v>
      </c>
      <c r="I532">
        <v>69</v>
      </c>
      <c r="J532" s="9">
        <f t="shared" si="16"/>
        <v>46047</v>
      </c>
      <c r="K532" s="10">
        <f>INDEX(Daily_Merchant_Pivot!$B$3:$AO$32,MATCH(J532,Daily_Merchant_Pivot!$A$3:$A$32,0),MATCH(C532,Daily_Merchant_Pivot!$B$2:$AO$2,0))</f>
        <v>6647</v>
      </c>
      <c r="L532" s="3" t="str">
        <f>INDEX(Merchant_Region_Map!$D$3:$D$42,MATCH(C532,Merchant_Region_Map!$A$3:$A$42,0))</f>
        <v>West</v>
      </c>
      <c r="M532" s="11" t="str">
        <f t="shared" si="17"/>
        <v>High-Value Merchant Day</v>
      </c>
    </row>
    <row r="533" spans="1:13" x14ac:dyDescent="0.25">
      <c r="D533" s="13" t="str">
        <f>IFERROR(VLOOKUP(C533,[1]Sheet1!$A$1:$C$41,2,0),"Merchant Not Found")</f>
        <v>Merchant Not Found</v>
      </c>
    </row>
    <row r="534" spans="1:13" x14ac:dyDescent="0.25">
      <c r="D534" s="13" t="str">
        <f>IFERROR(VLOOKUP(C534,[1]Sheet1!$A$1:$C$41,2,0),"Merchant Not Found")</f>
        <v>Merchant Not Found</v>
      </c>
    </row>
    <row r="535" spans="1:13" x14ac:dyDescent="0.25">
      <c r="D535" s="13" t="str">
        <f>IFERROR(VLOOKUP(C535,[1]Sheet1!$A$1:$C$41,2,0),"Merchant Not Found")</f>
        <v>Merchant Not Found</v>
      </c>
    </row>
    <row r="536" spans="1:13" x14ac:dyDescent="0.25">
      <c r="D536" s="13" t="str">
        <f>IFERROR(VLOOKUP(C536,[1]Sheet1!$A$1:$C$41,2,0),"Merchant Not Found")</f>
        <v>Merchant Not Found</v>
      </c>
    </row>
    <row r="537" spans="1:13" x14ac:dyDescent="0.25">
      <c r="D537" s="13" t="str">
        <f>IFERROR(VLOOKUP(C537,[1]Sheet1!$A$1:$C$41,2,0),"Merchant Not Found")</f>
        <v>Merchant Not Found</v>
      </c>
    </row>
    <row r="538" spans="1:13" x14ac:dyDescent="0.25">
      <c r="D538" s="13" t="str">
        <f>IFERROR(VLOOKUP(C538,[1]Sheet1!$A$1:$C$41,2,0),"Merchant Not Found")</f>
        <v>Merchant Not Found</v>
      </c>
    </row>
    <row r="539" spans="1:13" x14ac:dyDescent="0.25">
      <c r="D539" s="13" t="str">
        <f>IFERROR(VLOOKUP(C539,[1]Sheet1!$A$1:$C$41,2,0),"Merchant Not Found")</f>
        <v>Merchant Not Found</v>
      </c>
    </row>
    <row r="540" spans="1:13" x14ac:dyDescent="0.25">
      <c r="D540" s="13" t="str">
        <f>IFERROR(VLOOKUP(C540,[1]Sheet1!$A$1:$C$41,2,0),"Merchant Not Found")</f>
        <v>Merchant Not Found</v>
      </c>
    </row>
    <row r="541" spans="1:13" x14ac:dyDescent="0.25">
      <c r="D541" s="13" t="str">
        <f>IFERROR(VLOOKUP(C541,[1]Sheet1!$A$1:$C$41,2,0),"Merchant Not Found")</f>
        <v>Merchant Not Found</v>
      </c>
    </row>
    <row r="542" spans="1:13" x14ac:dyDescent="0.25">
      <c r="D542" s="13" t="str">
        <f>IFERROR(VLOOKUP(C542,[1]Sheet1!$A$1:$C$41,2,0),"Merchant Not Found")</f>
        <v>Merchant Not Found</v>
      </c>
    </row>
    <row r="543" spans="1:13" x14ac:dyDescent="0.25">
      <c r="D543" s="13" t="str">
        <f>IFERROR(VLOOKUP(C543,[1]Sheet1!$A$1:$C$41,2,0),"Merchant Not Found")</f>
        <v>Merchant Not Found</v>
      </c>
    </row>
    <row r="544" spans="1:13" x14ac:dyDescent="0.25">
      <c r="D544" s="13" t="str">
        <f>IFERROR(VLOOKUP(C544,[1]Sheet1!$A$1:$C$41,2,0),"Merchant Not Found")</f>
        <v>Merchant Not Found</v>
      </c>
    </row>
    <row r="545" spans="4:4" x14ac:dyDescent="0.25">
      <c r="D545" s="13" t="str">
        <f>IFERROR(VLOOKUP(C545,[1]Sheet1!$A$1:$C$41,2,0),"Merchant Not Found")</f>
        <v>Merchant Not Found</v>
      </c>
    </row>
    <row r="546" spans="4:4" x14ac:dyDescent="0.25">
      <c r="D546" s="13" t="str">
        <f>IFERROR(VLOOKUP(C546,[1]Sheet1!$A$1:$C$41,2,0),"Merchant Not Found")</f>
        <v>Merchant Not Found</v>
      </c>
    </row>
    <row r="547" spans="4:4" x14ac:dyDescent="0.25">
      <c r="D547" s="13" t="str">
        <f>IFERROR(VLOOKUP(C547,[1]Sheet1!$A$1:$C$41,2,0),"Merchant Not Found")</f>
        <v>Merchant Not Found</v>
      </c>
    </row>
    <row r="548" spans="4:4" x14ac:dyDescent="0.25">
      <c r="D548" s="13" t="str">
        <f>IFERROR(VLOOKUP(C548,[1]Sheet1!$A$1:$C$41,2,0),"Merchant Not Found")</f>
        <v>Merchant Not Found</v>
      </c>
    </row>
    <row r="549" spans="4:4" x14ac:dyDescent="0.25">
      <c r="D549" s="13" t="str">
        <f>IFERROR(VLOOKUP(C549,[1]Sheet1!$A$1:$C$41,2,0),"Merchant Not Found")</f>
        <v>Merchant Not Found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zoomScaleNormal="100" workbookViewId="0">
      <selection sqref="A1:D1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10" customWidth="1"/>
  </cols>
  <sheetData>
    <row r="1" spans="1:4" x14ac:dyDescent="0.25">
      <c r="A1" s="1" t="s">
        <v>575</v>
      </c>
      <c r="B1" s="1"/>
      <c r="C1" s="1"/>
      <c r="D1" s="1"/>
    </row>
    <row r="2" spans="1:4" x14ac:dyDescent="0.25">
      <c r="A2" s="6" t="s">
        <v>28</v>
      </c>
      <c r="B2" s="6" t="s">
        <v>576</v>
      </c>
      <c r="C2" s="6" t="s">
        <v>577</v>
      </c>
      <c r="D2" s="6" t="s">
        <v>578</v>
      </c>
    </row>
    <row r="3" spans="1:4" x14ac:dyDescent="0.25">
      <c r="A3" s="3">
        <v>1</v>
      </c>
      <c r="B3" s="3" t="s">
        <v>579</v>
      </c>
      <c r="C3" s="3" t="s">
        <v>580</v>
      </c>
      <c r="D3" s="3" t="s">
        <v>581</v>
      </c>
    </row>
    <row r="4" spans="1:4" x14ac:dyDescent="0.25">
      <c r="A4" s="3">
        <v>2</v>
      </c>
      <c r="B4" s="3" t="s">
        <v>582</v>
      </c>
      <c r="C4" s="3" t="s">
        <v>583</v>
      </c>
      <c r="D4" s="3" t="s">
        <v>584</v>
      </c>
    </row>
    <row r="5" spans="1:4" x14ac:dyDescent="0.25">
      <c r="A5" s="3">
        <v>3</v>
      </c>
      <c r="B5" s="3" t="s">
        <v>585</v>
      </c>
      <c r="C5" s="3" t="s">
        <v>583</v>
      </c>
      <c r="D5" s="3" t="s">
        <v>586</v>
      </c>
    </row>
    <row r="6" spans="1:4" x14ac:dyDescent="0.25">
      <c r="A6" s="3">
        <v>4</v>
      </c>
      <c r="B6" s="3" t="s">
        <v>587</v>
      </c>
      <c r="C6" s="3" t="s">
        <v>580</v>
      </c>
      <c r="D6" s="3" t="s">
        <v>586</v>
      </c>
    </row>
    <row r="7" spans="1:4" x14ac:dyDescent="0.25">
      <c r="A7" s="3">
        <v>5</v>
      </c>
      <c r="B7" s="3" t="s">
        <v>588</v>
      </c>
      <c r="C7" s="3" t="s">
        <v>589</v>
      </c>
      <c r="D7" s="3" t="s">
        <v>581</v>
      </c>
    </row>
    <row r="8" spans="1:4" x14ac:dyDescent="0.25">
      <c r="A8" s="3">
        <v>6</v>
      </c>
      <c r="B8" s="3" t="s">
        <v>590</v>
      </c>
      <c r="C8" s="3" t="s">
        <v>591</v>
      </c>
      <c r="D8" s="3" t="s">
        <v>581</v>
      </c>
    </row>
    <row r="9" spans="1:4" x14ac:dyDescent="0.25">
      <c r="A9" s="3">
        <v>7</v>
      </c>
      <c r="B9" s="3" t="s">
        <v>592</v>
      </c>
      <c r="C9" s="3" t="s">
        <v>591</v>
      </c>
      <c r="D9" s="3" t="s">
        <v>586</v>
      </c>
    </row>
    <row r="10" spans="1:4" x14ac:dyDescent="0.25">
      <c r="A10" s="3">
        <v>8</v>
      </c>
      <c r="B10" s="3" t="s">
        <v>593</v>
      </c>
      <c r="C10" s="3" t="s">
        <v>591</v>
      </c>
      <c r="D10" s="3" t="s">
        <v>594</v>
      </c>
    </row>
    <row r="11" spans="1:4" x14ac:dyDescent="0.25">
      <c r="A11" s="3">
        <v>9</v>
      </c>
      <c r="B11" s="3" t="s">
        <v>595</v>
      </c>
      <c r="C11" s="3" t="s">
        <v>580</v>
      </c>
      <c r="D11" s="3" t="s">
        <v>594</v>
      </c>
    </row>
    <row r="12" spans="1:4" x14ac:dyDescent="0.25">
      <c r="A12" s="3">
        <v>10</v>
      </c>
      <c r="B12" s="3" t="s">
        <v>596</v>
      </c>
      <c r="C12" s="3" t="s">
        <v>583</v>
      </c>
      <c r="D12" s="3" t="s">
        <v>584</v>
      </c>
    </row>
    <row r="13" spans="1:4" x14ac:dyDescent="0.25">
      <c r="A13" s="3">
        <v>11</v>
      </c>
      <c r="B13" s="3" t="s">
        <v>597</v>
      </c>
      <c r="C13" s="3" t="s">
        <v>580</v>
      </c>
      <c r="D13" s="3" t="s">
        <v>594</v>
      </c>
    </row>
    <row r="14" spans="1:4" x14ac:dyDescent="0.25">
      <c r="A14" s="3">
        <v>12</v>
      </c>
      <c r="B14" s="3" t="s">
        <v>598</v>
      </c>
      <c r="C14" s="3" t="s">
        <v>580</v>
      </c>
      <c r="D14" s="3" t="s">
        <v>586</v>
      </c>
    </row>
    <row r="15" spans="1:4" x14ac:dyDescent="0.25">
      <c r="A15" s="3">
        <v>13</v>
      </c>
      <c r="B15" s="3" t="s">
        <v>599</v>
      </c>
      <c r="C15" s="3" t="s">
        <v>600</v>
      </c>
      <c r="D15" s="3" t="s">
        <v>586</v>
      </c>
    </row>
    <row r="16" spans="1:4" x14ac:dyDescent="0.25">
      <c r="A16" s="3">
        <v>14</v>
      </c>
      <c r="B16" s="3" t="s">
        <v>601</v>
      </c>
      <c r="C16" s="3" t="s">
        <v>583</v>
      </c>
      <c r="D16" s="3" t="s">
        <v>586</v>
      </c>
    </row>
    <row r="17" spans="1:4" x14ac:dyDescent="0.25">
      <c r="A17" s="3">
        <v>15</v>
      </c>
      <c r="B17" s="3" t="s">
        <v>602</v>
      </c>
      <c r="C17" s="3" t="s">
        <v>600</v>
      </c>
      <c r="D17" s="3" t="s">
        <v>594</v>
      </c>
    </row>
    <row r="18" spans="1:4" x14ac:dyDescent="0.25">
      <c r="A18" s="3">
        <v>16</v>
      </c>
      <c r="B18" s="3" t="s">
        <v>603</v>
      </c>
      <c r="C18" s="3" t="s">
        <v>604</v>
      </c>
      <c r="D18" s="3" t="s">
        <v>584</v>
      </c>
    </row>
    <row r="19" spans="1:4" x14ac:dyDescent="0.25">
      <c r="A19" s="3">
        <v>17</v>
      </c>
      <c r="B19" s="3" t="s">
        <v>605</v>
      </c>
      <c r="C19" s="3" t="s">
        <v>583</v>
      </c>
      <c r="D19" s="3" t="s">
        <v>594</v>
      </c>
    </row>
    <row r="20" spans="1:4" x14ac:dyDescent="0.25">
      <c r="A20" s="3">
        <v>18</v>
      </c>
      <c r="B20" s="3" t="s">
        <v>606</v>
      </c>
      <c r="C20" s="3" t="s">
        <v>583</v>
      </c>
      <c r="D20" s="3" t="s">
        <v>584</v>
      </c>
    </row>
    <row r="21" spans="1:4" x14ac:dyDescent="0.25">
      <c r="A21" s="3">
        <v>19</v>
      </c>
      <c r="B21" s="3" t="s">
        <v>607</v>
      </c>
      <c r="C21" s="3" t="s">
        <v>583</v>
      </c>
      <c r="D21" s="3" t="s">
        <v>594</v>
      </c>
    </row>
    <row r="22" spans="1:4" x14ac:dyDescent="0.25">
      <c r="A22" s="3">
        <v>20</v>
      </c>
      <c r="B22" s="3" t="s">
        <v>608</v>
      </c>
      <c r="C22" s="3" t="s">
        <v>591</v>
      </c>
      <c r="D22" s="3" t="s">
        <v>586</v>
      </c>
    </row>
    <row r="23" spans="1:4" x14ac:dyDescent="0.25">
      <c r="A23" s="3">
        <v>21</v>
      </c>
      <c r="B23" s="3" t="s">
        <v>609</v>
      </c>
      <c r="C23" s="3" t="s">
        <v>591</v>
      </c>
      <c r="D23" s="3" t="s">
        <v>586</v>
      </c>
    </row>
    <row r="24" spans="1:4" x14ac:dyDescent="0.25">
      <c r="A24" s="3">
        <v>22</v>
      </c>
      <c r="B24" s="3" t="s">
        <v>610</v>
      </c>
      <c r="C24" s="3" t="s">
        <v>600</v>
      </c>
      <c r="D24" s="3" t="s">
        <v>581</v>
      </c>
    </row>
    <row r="25" spans="1:4" x14ac:dyDescent="0.25">
      <c r="A25" s="3">
        <v>23</v>
      </c>
      <c r="B25" s="3" t="s">
        <v>611</v>
      </c>
      <c r="C25" s="3" t="s">
        <v>600</v>
      </c>
      <c r="D25" s="3" t="s">
        <v>594</v>
      </c>
    </row>
    <row r="26" spans="1:4" x14ac:dyDescent="0.25">
      <c r="A26" s="3">
        <v>24</v>
      </c>
      <c r="B26" s="3" t="s">
        <v>612</v>
      </c>
      <c r="C26" s="3" t="s">
        <v>583</v>
      </c>
      <c r="D26" s="3" t="s">
        <v>594</v>
      </c>
    </row>
    <row r="27" spans="1:4" x14ac:dyDescent="0.25">
      <c r="A27" s="3">
        <v>25</v>
      </c>
      <c r="B27" s="3" t="s">
        <v>613</v>
      </c>
      <c r="C27" s="3" t="s">
        <v>600</v>
      </c>
      <c r="D27" s="3" t="s">
        <v>581</v>
      </c>
    </row>
    <row r="28" spans="1:4" x14ac:dyDescent="0.25">
      <c r="A28" s="3">
        <v>26</v>
      </c>
      <c r="B28" s="3" t="s">
        <v>614</v>
      </c>
      <c r="C28" s="3" t="s">
        <v>591</v>
      </c>
      <c r="D28" s="3" t="s">
        <v>586</v>
      </c>
    </row>
    <row r="29" spans="1:4" x14ac:dyDescent="0.25">
      <c r="A29" s="3">
        <v>27</v>
      </c>
      <c r="B29" s="3" t="s">
        <v>615</v>
      </c>
      <c r="C29" s="3" t="s">
        <v>580</v>
      </c>
      <c r="D29" s="3" t="s">
        <v>594</v>
      </c>
    </row>
    <row r="30" spans="1:4" x14ac:dyDescent="0.25">
      <c r="A30" s="3">
        <v>28</v>
      </c>
      <c r="B30" s="3" t="s">
        <v>616</v>
      </c>
      <c r="C30" s="3" t="s">
        <v>580</v>
      </c>
      <c r="D30" s="3" t="s">
        <v>581</v>
      </c>
    </row>
    <row r="31" spans="1:4" x14ac:dyDescent="0.25">
      <c r="A31" s="3">
        <v>29</v>
      </c>
      <c r="B31" s="3" t="s">
        <v>617</v>
      </c>
      <c r="C31" s="3" t="s">
        <v>580</v>
      </c>
      <c r="D31" s="3" t="s">
        <v>594</v>
      </c>
    </row>
    <row r="32" spans="1:4" x14ac:dyDescent="0.25">
      <c r="A32" s="3">
        <v>30</v>
      </c>
      <c r="B32" s="3" t="s">
        <v>618</v>
      </c>
      <c r="C32" s="3" t="s">
        <v>600</v>
      </c>
      <c r="D32" s="3" t="s">
        <v>584</v>
      </c>
    </row>
    <row r="33" spans="1:4" x14ac:dyDescent="0.25">
      <c r="A33" s="3">
        <v>31</v>
      </c>
      <c r="B33" s="3" t="s">
        <v>619</v>
      </c>
      <c r="C33" s="3" t="s">
        <v>604</v>
      </c>
      <c r="D33" s="3" t="s">
        <v>586</v>
      </c>
    </row>
    <row r="34" spans="1:4" x14ac:dyDescent="0.25">
      <c r="A34" s="3">
        <v>32</v>
      </c>
      <c r="B34" s="3" t="s">
        <v>620</v>
      </c>
      <c r="C34" s="3" t="s">
        <v>591</v>
      </c>
      <c r="D34" s="3" t="s">
        <v>584</v>
      </c>
    </row>
    <row r="35" spans="1:4" x14ac:dyDescent="0.25">
      <c r="A35" s="3">
        <v>33</v>
      </c>
      <c r="B35" s="3" t="s">
        <v>621</v>
      </c>
      <c r="C35" s="3" t="s">
        <v>604</v>
      </c>
      <c r="D35" s="3" t="s">
        <v>586</v>
      </c>
    </row>
    <row r="36" spans="1:4" x14ac:dyDescent="0.25">
      <c r="A36" s="3">
        <v>34</v>
      </c>
      <c r="B36" s="3" t="s">
        <v>622</v>
      </c>
      <c r="C36" s="3" t="s">
        <v>600</v>
      </c>
      <c r="D36" s="3" t="s">
        <v>581</v>
      </c>
    </row>
    <row r="37" spans="1:4" x14ac:dyDescent="0.25">
      <c r="A37" s="3">
        <v>35</v>
      </c>
      <c r="B37" s="3" t="s">
        <v>623</v>
      </c>
      <c r="C37" s="3" t="s">
        <v>589</v>
      </c>
      <c r="D37" s="3" t="s">
        <v>586</v>
      </c>
    </row>
    <row r="38" spans="1:4" x14ac:dyDescent="0.25">
      <c r="A38" s="3">
        <v>36</v>
      </c>
      <c r="B38" s="3" t="s">
        <v>624</v>
      </c>
      <c r="C38" s="3" t="s">
        <v>625</v>
      </c>
      <c r="D38" s="3" t="s">
        <v>586</v>
      </c>
    </row>
    <row r="39" spans="1:4" x14ac:dyDescent="0.25">
      <c r="A39" s="3">
        <v>37</v>
      </c>
      <c r="B39" s="3" t="s">
        <v>626</v>
      </c>
      <c r="C39" s="3" t="s">
        <v>625</v>
      </c>
      <c r="D39" s="3" t="s">
        <v>581</v>
      </c>
    </row>
    <row r="40" spans="1:4" x14ac:dyDescent="0.25">
      <c r="A40" s="3">
        <v>38</v>
      </c>
      <c r="B40" s="3" t="s">
        <v>627</v>
      </c>
      <c r="C40" s="3" t="s">
        <v>583</v>
      </c>
      <c r="D40" s="3" t="s">
        <v>586</v>
      </c>
    </row>
    <row r="41" spans="1:4" x14ac:dyDescent="0.25">
      <c r="A41" s="3">
        <v>39</v>
      </c>
      <c r="B41" s="3" t="s">
        <v>628</v>
      </c>
      <c r="C41" s="3" t="s">
        <v>625</v>
      </c>
      <c r="D41" s="3" t="s">
        <v>594</v>
      </c>
    </row>
    <row r="42" spans="1:4" x14ac:dyDescent="0.25">
      <c r="A42" s="3">
        <v>40</v>
      </c>
      <c r="B42" s="3" t="s">
        <v>629</v>
      </c>
      <c r="C42" s="3" t="s">
        <v>625</v>
      </c>
      <c r="D42" s="3" t="s">
        <v>581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2"/>
  <sheetViews>
    <sheetView zoomScaleNormal="100" workbookViewId="0">
      <selection sqref="A1:XFD1048576"/>
    </sheetView>
  </sheetViews>
  <sheetFormatPr defaultColWidth="8.7109375" defaultRowHeight="15" x14ac:dyDescent="0.25"/>
  <cols>
    <col min="1" max="1" width="12" customWidth="1"/>
    <col min="2" max="41" width="8" customWidth="1"/>
  </cols>
  <sheetData>
    <row r="1" spans="1:41" x14ac:dyDescent="0.25">
      <c r="A1" s="1" t="s">
        <v>630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6" t="s">
        <v>631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6">
        <v>35</v>
      </c>
      <c r="AK2" s="6">
        <v>36</v>
      </c>
      <c r="AL2" s="6">
        <v>37</v>
      </c>
      <c r="AM2" s="6">
        <v>38</v>
      </c>
      <c r="AN2" s="6">
        <v>39</v>
      </c>
      <c r="AO2" s="6">
        <v>40</v>
      </c>
    </row>
    <row r="3" spans="1:41" x14ac:dyDescent="0.25">
      <c r="A3" s="9">
        <v>46023</v>
      </c>
      <c r="B3" s="10">
        <f>SUMIFS(Master!$F$3:$F$532,Master!$C$3:$C$532,B$2,Master!$E$3:$E$532,"&gt;="&amp;$A3,Master!$E$3:$E$532,"&lt;"&amp;($A3+1),Master!$H$3:$H$532,"captured")</f>
        <v>0</v>
      </c>
      <c r="C3" s="10">
        <f>SUMIFS(Master!$F$3:$F$532,Master!$C$3:$C$532,C$2,Master!$E$3:$E$532,"&gt;="&amp;$A3,Master!$E$3:$E$532,"&lt;"&amp;($A3+1),Master!$H$3:$H$532,"captured")</f>
        <v>0</v>
      </c>
      <c r="D3" s="10">
        <f>SUMIFS(Master!$F$3:$F$532,Master!$C$3:$C$532,D$2,Master!$E$3:$E$532,"&gt;="&amp;$A3,Master!$E$3:$E$532,"&lt;"&amp;($A3+1),Master!$H$3:$H$532,"captured")</f>
        <v>0</v>
      </c>
      <c r="E3" s="10">
        <f>SUMIFS(Master!$F$3:$F$532,Master!$C$3:$C$532,E$2,Master!$E$3:$E$532,"&gt;="&amp;$A3,Master!$E$3:$E$532,"&lt;"&amp;($A3+1),Master!$H$3:$H$532,"captured")</f>
        <v>0</v>
      </c>
      <c r="F3" s="10">
        <f>SUMIFS(Master!$F$3:$F$532,Master!$C$3:$C$532,F$2,Master!$E$3:$E$532,"&gt;="&amp;$A3,Master!$E$3:$E$532,"&lt;"&amp;($A3+1),Master!$H$3:$H$532,"captured")</f>
        <v>0</v>
      </c>
      <c r="G3" s="10">
        <f>SUMIFS(Master!$F$3:$F$532,Master!$C$3:$C$532,G$2,Master!$E$3:$E$532,"&gt;="&amp;$A3,Master!$E$3:$E$532,"&lt;"&amp;($A3+1),Master!$H$3:$H$532,"captured")</f>
        <v>149</v>
      </c>
      <c r="H3" s="10">
        <f>SUMIFS(Master!$F$3:$F$532,Master!$C$3:$C$532,H$2,Master!$E$3:$E$532,"&gt;="&amp;$A3,Master!$E$3:$E$532,"&lt;"&amp;($A3+1),Master!$H$3:$H$532,"captured")</f>
        <v>0</v>
      </c>
      <c r="I3" s="10">
        <f>SUMIFS(Master!$F$3:$F$532,Master!$C$3:$C$532,I$2,Master!$E$3:$E$532,"&gt;="&amp;$A3,Master!$E$3:$E$532,"&lt;"&amp;($A3+1),Master!$H$3:$H$532,"captured")</f>
        <v>0</v>
      </c>
      <c r="J3" s="10">
        <f>SUMIFS(Master!$F$3:$F$532,Master!$C$3:$C$532,J$2,Master!$E$3:$E$532,"&gt;="&amp;$A3,Master!$E$3:$E$532,"&lt;"&amp;($A3+1),Master!$H$3:$H$532,"captured")</f>
        <v>499</v>
      </c>
      <c r="K3" s="10">
        <f>SUMIFS(Master!$F$3:$F$532,Master!$C$3:$C$532,K$2,Master!$E$3:$E$532,"&gt;="&amp;$A3,Master!$E$3:$E$532,"&lt;"&amp;($A3+1),Master!$H$3:$H$532,"captured")</f>
        <v>0</v>
      </c>
      <c r="L3" s="10">
        <f>SUMIFS(Master!$F$3:$F$532,Master!$C$3:$C$532,L$2,Master!$E$3:$E$532,"&gt;="&amp;$A3,Master!$E$3:$E$532,"&lt;"&amp;($A3+1),Master!$H$3:$H$532,"captured")</f>
        <v>0</v>
      </c>
      <c r="M3" s="10">
        <f>SUMIFS(Master!$F$3:$F$532,Master!$C$3:$C$532,M$2,Master!$E$3:$E$532,"&gt;="&amp;$A3,Master!$E$3:$E$532,"&lt;"&amp;($A3+1),Master!$H$3:$H$532,"captured")</f>
        <v>548</v>
      </c>
      <c r="N3" s="10">
        <f>SUMIFS(Master!$F$3:$F$532,Master!$C$3:$C$532,N$2,Master!$E$3:$E$532,"&gt;="&amp;$A3,Master!$E$3:$E$532,"&lt;"&amp;($A3+1),Master!$H$3:$H$532,"captured")</f>
        <v>0</v>
      </c>
      <c r="O3" s="10">
        <f>SUMIFS(Master!$F$3:$F$532,Master!$C$3:$C$532,O$2,Master!$E$3:$E$532,"&gt;="&amp;$A3,Master!$E$3:$E$532,"&lt;"&amp;($A3+1),Master!$H$3:$H$532,"captured")</f>
        <v>0</v>
      </c>
      <c r="P3" s="10">
        <f>SUMIFS(Master!$F$3:$F$532,Master!$C$3:$C$532,P$2,Master!$E$3:$E$532,"&gt;="&amp;$A3,Master!$E$3:$E$532,"&lt;"&amp;($A3+1),Master!$H$3:$H$532,"captured")</f>
        <v>499</v>
      </c>
      <c r="Q3" s="10">
        <f>SUMIFS(Master!$F$3:$F$532,Master!$C$3:$C$532,Q$2,Master!$E$3:$E$532,"&gt;="&amp;$A3,Master!$E$3:$E$532,"&lt;"&amp;($A3+1),Master!$H$3:$H$532,"captured")</f>
        <v>0</v>
      </c>
      <c r="R3" s="10">
        <f>SUMIFS(Master!$F$3:$F$532,Master!$C$3:$C$532,R$2,Master!$E$3:$E$532,"&gt;="&amp;$A3,Master!$E$3:$E$532,"&lt;"&amp;($A3+1),Master!$H$3:$H$532,"captured")</f>
        <v>1499</v>
      </c>
      <c r="S3" s="10">
        <f>SUMIFS(Master!$F$3:$F$532,Master!$C$3:$C$532,S$2,Master!$E$3:$E$532,"&gt;="&amp;$A3,Master!$E$3:$E$532,"&lt;"&amp;($A3+1),Master!$H$3:$H$532,"captured")</f>
        <v>0</v>
      </c>
      <c r="T3" s="10">
        <f>SUMIFS(Master!$F$3:$F$532,Master!$C$3:$C$532,T$2,Master!$E$3:$E$532,"&gt;="&amp;$A3,Master!$E$3:$E$532,"&lt;"&amp;($A3+1),Master!$H$3:$H$532,"captured")</f>
        <v>0</v>
      </c>
      <c r="U3" s="10">
        <f>SUMIFS(Master!$F$3:$F$532,Master!$C$3:$C$532,U$2,Master!$E$3:$E$532,"&gt;="&amp;$A3,Master!$E$3:$E$532,"&lt;"&amp;($A3+1),Master!$H$3:$H$532,"captured")</f>
        <v>0</v>
      </c>
      <c r="V3" s="10">
        <f>SUMIFS(Master!$F$3:$F$532,Master!$C$3:$C$532,V$2,Master!$E$3:$E$532,"&gt;="&amp;$A3,Master!$E$3:$E$532,"&lt;"&amp;($A3+1),Master!$H$3:$H$532,"captured")</f>
        <v>299</v>
      </c>
      <c r="W3" s="10">
        <f>SUMIFS(Master!$F$3:$F$532,Master!$C$3:$C$532,W$2,Master!$E$3:$E$532,"&gt;="&amp;$A3,Master!$E$3:$E$532,"&lt;"&amp;($A3+1),Master!$H$3:$H$532,"captured")</f>
        <v>799</v>
      </c>
      <c r="X3" s="10">
        <f>SUMIFS(Master!$F$3:$F$532,Master!$C$3:$C$532,X$2,Master!$E$3:$E$532,"&gt;="&amp;$A3,Master!$E$3:$E$532,"&lt;"&amp;($A3+1),Master!$H$3:$H$532,"captured")</f>
        <v>0</v>
      </c>
      <c r="Y3" s="10">
        <f>SUMIFS(Master!$F$3:$F$532,Master!$C$3:$C$532,Y$2,Master!$E$3:$E$532,"&gt;="&amp;$A3,Master!$E$3:$E$532,"&lt;"&amp;($A3+1),Master!$H$3:$H$532,"captured")</f>
        <v>0</v>
      </c>
      <c r="Z3" s="10">
        <f>SUMIFS(Master!$F$3:$F$532,Master!$C$3:$C$532,Z$2,Master!$E$3:$E$532,"&gt;="&amp;$A3,Master!$E$3:$E$532,"&lt;"&amp;($A3+1),Master!$H$3:$H$532,"captured")</f>
        <v>0</v>
      </c>
      <c r="AA3" s="10">
        <f>SUMIFS(Master!$F$3:$F$532,Master!$C$3:$C$532,AA$2,Master!$E$3:$E$532,"&gt;="&amp;$A3,Master!$E$3:$E$532,"&lt;"&amp;($A3+1),Master!$H$3:$H$532,"captured")</f>
        <v>0</v>
      </c>
      <c r="AB3" s="10">
        <f>SUMIFS(Master!$F$3:$F$532,Master!$C$3:$C$532,AB$2,Master!$E$3:$E$532,"&gt;="&amp;$A3,Master!$E$3:$E$532,"&lt;"&amp;($A3+1),Master!$H$3:$H$532,"captured")</f>
        <v>149</v>
      </c>
      <c r="AC3" s="10">
        <f>SUMIFS(Master!$F$3:$F$532,Master!$C$3:$C$532,AC$2,Master!$E$3:$E$532,"&gt;="&amp;$A3,Master!$E$3:$E$532,"&lt;"&amp;($A3+1),Master!$H$3:$H$532,"captured")</f>
        <v>0</v>
      </c>
      <c r="AD3" s="10">
        <f>SUMIFS(Master!$F$3:$F$532,Master!$C$3:$C$532,AD$2,Master!$E$3:$E$532,"&gt;="&amp;$A3,Master!$E$3:$E$532,"&lt;"&amp;($A3+1),Master!$H$3:$H$532,"captured")</f>
        <v>0</v>
      </c>
      <c r="AE3" s="10">
        <f>SUMIFS(Master!$F$3:$F$532,Master!$C$3:$C$532,AE$2,Master!$E$3:$E$532,"&gt;="&amp;$A3,Master!$E$3:$E$532,"&lt;"&amp;($A3+1),Master!$H$3:$H$532,"captured")</f>
        <v>0</v>
      </c>
      <c r="AF3" s="10">
        <f>SUMIFS(Master!$F$3:$F$532,Master!$C$3:$C$532,AF$2,Master!$E$3:$E$532,"&gt;="&amp;$A3,Master!$E$3:$E$532,"&lt;"&amp;($A3+1),Master!$H$3:$H$532,"captured")</f>
        <v>0</v>
      </c>
      <c r="AG3" s="10">
        <f>SUMIFS(Master!$F$3:$F$532,Master!$C$3:$C$532,AG$2,Master!$E$3:$E$532,"&gt;="&amp;$A3,Master!$E$3:$E$532,"&lt;"&amp;($A3+1),Master!$H$3:$H$532,"captured")</f>
        <v>0</v>
      </c>
      <c r="AH3" s="10">
        <f>SUMIFS(Master!$F$3:$F$532,Master!$C$3:$C$532,AH$2,Master!$E$3:$E$532,"&gt;="&amp;$A3,Master!$E$3:$E$532,"&lt;"&amp;($A3+1),Master!$H$3:$H$532,"captured")</f>
        <v>0</v>
      </c>
      <c r="AI3" s="10">
        <f>SUMIFS(Master!$F$3:$F$532,Master!$C$3:$C$532,AI$2,Master!$E$3:$E$532,"&gt;="&amp;$A3,Master!$E$3:$E$532,"&lt;"&amp;($A3+1),Master!$H$3:$H$532,"captured")</f>
        <v>0</v>
      </c>
      <c r="AJ3" s="10">
        <f>SUMIFS(Master!$F$3:$F$532,Master!$C$3:$C$532,AJ$2,Master!$E$3:$E$532,"&gt;="&amp;$A3,Master!$E$3:$E$532,"&lt;"&amp;($A3+1),Master!$H$3:$H$532,"captured")</f>
        <v>499</v>
      </c>
      <c r="AK3" s="10">
        <f>SUMIFS(Master!$F$3:$F$532,Master!$C$3:$C$532,AK$2,Master!$E$3:$E$532,"&gt;="&amp;$A3,Master!$E$3:$E$532,"&lt;"&amp;($A3+1),Master!$H$3:$H$532,"captured")</f>
        <v>149</v>
      </c>
      <c r="AL3" s="10">
        <f>SUMIFS(Master!$F$3:$F$532,Master!$C$3:$C$532,AL$2,Master!$E$3:$E$532,"&gt;="&amp;$A3,Master!$E$3:$E$532,"&lt;"&amp;($A3+1),Master!$H$3:$H$532,"captured")</f>
        <v>897</v>
      </c>
      <c r="AM3" s="10">
        <f>SUMIFS(Master!$F$3:$F$532,Master!$C$3:$C$532,AM$2,Master!$E$3:$E$532,"&gt;="&amp;$A3,Master!$E$3:$E$532,"&lt;"&amp;($A3+1),Master!$H$3:$H$532,"captured")</f>
        <v>0</v>
      </c>
      <c r="AN3" s="10">
        <f>SUMIFS(Master!$F$3:$F$532,Master!$C$3:$C$532,AN$2,Master!$E$3:$E$532,"&gt;="&amp;$A3,Master!$E$3:$E$532,"&lt;"&amp;($A3+1),Master!$H$3:$H$532,"captured")</f>
        <v>0</v>
      </c>
      <c r="AO3" s="10">
        <f>SUMIFS(Master!$F$3:$F$532,Master!$C$3:$C$532,AO$2,Master!$E$3:$E$532,"&gt;="&amp;$A3,Master!$E$3:$E$532,"&lt;"&amp;($A3+1),Master!$H$3:$H$532,"captured")</f>
        <v>299</v>
      </c>
    </row>
    <row r="4" spans="1:41" x14ac:dyDescent="0.25">
      <c r="A4" s="9">
        <v>46024</v>
      </c>
      <c r="B4" s="10">
        <f>SUMIFS(Master!$F$3:$F$532,Master!$C$3:$C$532,B$2,Master!$E$3:$E$532,"&gt;="&amp;$A4,Master!$E$3:$E$532,"&lt;"&amp;($A4+1),Master!$H$3:$H$532,"captured")</f>
        <v>0</v>
      </c>
      <c r="C4" s="10">
        <f>SUMIFS(Master!$F$3:$F$532,Master!$C$3:$C$532,C$2,Master!$E$3:$E$532,"&gt;="&amp;$A4,Master!$E$3:$E$532,"&lt;"&amp;($A4+1),Master!$H$3:$H$532,"captured")</f>
        <v>0</v>
      </c>
      <c r="D4" s="10">
        <f>SUMIFS(Master!$F$3:$F$532,Master!$C$3:$C$532,D$2,Master!$E$3:$E$532,"&gt;="&amp;$A4,Master!$E$3:$E$532,"&lt;"&amp;($A4+1),Master!$H$3:$H$532,"captured")</f>
        <v>0</v>
      </c>
      <c r="E4" s="10">
        <f>SUMIFS(Master!$F$3:$F$532,Master!$C$3:$C$532,E$2,Master!$E$3:$E$532,"&gt;="&amp;$A4,Master!$E$3:$E$532,"&lt;"&amp;($A4+1),Master!$H$3:$H$532,"captured")</f>
        <v>149</v>
      </c>
      <c r="F4" s="10">
        <f>SUMIFS(Master!$F$3:$F$532,Master!$C$3:$C$532,F$2,Master!$E$3:$E$532,"&gt;="&amp;$A4,Master!$E$3:$E$532,"&lt;"&amp;($A4+1),Master!$H$3:$H$532,"captured")</f>
        <v>0</v>
      </c>
      <c r="G4" s="10">
        <f>SUMIFS(Master!$F$3:$F$532,Master!$C$3:$C$532,G$2,Master!$E$3:$E$532,"&gt;="&amp;$A4,Master!$E$3:$E$532,"&lt;"&amp;($A4+1),Master!$H$3:$H$532,"captured")</f>
        <v>0</v>
      </c>
      <c r="H4" s="10">
        <f>SUMIFS(Master!$F$3:$F$532,Master!$C$3:$C$532,H$2,Master!$E$3:$E$532,"&gt;="&amp;$A4,Master!$E$3:$E$532,"&lt;"&amp;($A4+1),Master!$H$3:$H$532,"captured")</f>
        <v>2999</v>
      </c>
      <c r="I4" s="10">
        <f>SUMIFS(Master!$F$3:$F$532,Master!$C$3:$C$532,I$2,Master!$E$3:$E$532,"&gt;="&amp;$A4,Master!$E$3:$E$532,"&lt;"&amp;($A4+1),Master!$H$3:$H$532,"captured")</f>
        <v>0</v>
      </c>
      <c r="J4" s="10">
        <f>SUMIFS(Master!$F$3:$F$532,Master!$C$3:$C$532,J$2,Master!$E$3:$E$532,"&gt;="&amp;$A4,Master!$E$3:$E$532,"&lt;"&amp;($A4+1),Master!$H$3:$H$532,"captured")</f>
        <v>0</v>
      </c>
      <c r="K4" s="10">
        <f>SUMIFS(Master!$F$3:$F$532,Master!$C$3:$C$532,K$2,Master!$E$3:$E$532,"&gt;="&amp;$A4,Master!$E$3:$E$532,"&lt;"&amp;($A4+1),Master!$H$3:$H$532,"captured")</f>
        <v>0</v>
      </c>
      <c r="L4" s="10">
        <f>SUMIFS(Master!$F$3:$F$532,Master!$C$3:$C$532,L$2,Master!$E$3:$E$532,"&gt;="&amp;$A4,Master!$E$3:$E$532,"&lt;"&amp;($A4+1),Master!$H$3:$H$532,"captured")</f>
        <v>0</v>
      </c>
      <c r="M4" s="10">
        <f>SUMIFS(Master!$F$3:$F$532,Master!$C$3:$C$532,M$2,Master!$E$3:$E$532,"&gt;="&amp;$A4,Master!$E$3:$E$532,"&lt;"&amp;($A4+1),Master!$H$3:$H$532,"captured")</f>
        <v>0</v>
      </c>
      <c r="N4" s="10">
        <f>SUMIFS(Master!$F$3:$F$532,Master!$C$3:$C$532,N$2,Master!$E$3:$E$532,"&gt;="&amp;$A4,Master!$E$3:$E$532,"&lt;"&amp;($A4+1),Master!$H$3:$H$532,"captured")</f>
        <v>0</v>
      </c>
      <c r="O4" s="10">
        <f>SUMIFS(Master!$F$3:$F$532,Master!$C$3:$C$532,O$2,Master!$E$3:$E$532,"&gt;="&amp;$A4,Master!$E$3:$E$532,"&lt;"&amp;($A4+1),Master!$H$3:$H$532,"captured")</f>
        <v>1499</v>
      </c>
      <c r="P4" s="10">
        <f>SUMIFS(Master!$F$3:$F$532,Master!$C$3:$C$532,P$2,Master!$E$3:$E$532,"&gt;="&amp;$A4,Master!$E$3:$E$532,"&lt;"&amp;($A4+1),Master!$H$3:$H$532,"captured")</f>
        <v>0</v>
      </c>
      <c r="Q4" s="10">
        <f>SUMIFS(Master!$F$3:$F$532,Master!$C$3:$C$532,Q$2,Master!$E$3:$E$532,"&gt;="&amp;$A4,Master!$E$3:$E$532,"&lt;"&amp;($A4+1),Master!$H$3:$H$532,"captured")</f>
        <v>0</v>
      </c>
      <c r="R4" s="10">
        <f>SUMIFS(Master!$F$3:$F$532,Master!$C$3:$C$532,R$2,Master!$E$3:$E$532,"&gt;="&amp;$A4,Master!$E$3:$E$532,"&lt;"&amp;($A4+1),Master!$H$3:$H$532,"captured")</f>
        <v>0</v>
      </c>
      <c r="S4" s="10">
        <f>SUMIFS(Master!$F$3:$F$532,Master!$C$3:$C$532,S$2,Master!$E$3:$E$532,"&gt;="&amp;$A4,Master!$E$3:$E$532,"&lt;"&amp;($A4+1),Master!$H$3:$H$532,"captured")</f>
        <v>0</v>
      </c>
      <c r="T4" s="10">
        <f>SUMIFS(Master!$F$3:$F$532,Master!$C$3:$C$532,T$2,Master!$E$3:$E$532,"&gt;="&amp;$A4,Master!$E$3:$E$532,"&lt;"&amp;($A4+1),Master!$H$3:$H$532,"captured")</f>
        <v>149</v>
      </c>
      <c r="U4" s="10">
        <f>SUMIFS(Master!$F$3:$F$532,Master!$C$3:$C$532,U$2,Master!$E$3:$E$532,"&gt;="&amp;$A4,Master!$E$3:$E$532,"&lt;"&amp;($A4+1),Master!$H$3:$H$532,"captured")</f>
        <v>0</v>
      </c>
      <c r="V4" s="10">
        <f>SUMIFS(Master!$F$3:$F$532,Master!$C$3:$C$532,V$2,Master!$E$3:$E$532,"&gt;="&amp;$A4,Master!$E$3:$E$532,"&lt;"&amp;($A4+1),Master!$H$3:$H$532,"captured")</f>
        <v>0</v>
      </c>
      <c r="W4" s="10">
        <f>SUMIFS(Master!$F$3:$F$532,Master!$C$3:$C$532,W$2,Master!$E$3:$E$532,"&gt;="&amp;$A4,Master!$E$3:$E$532,"&lt;"&amp;($A4+1),Master!$H$3:$H$532,"captured")</f>
        <v>0</v>
      </c>
      <c r="X4" s="10">
        <f>SUMIFS(Master!$F$3:$F$532,Master!$C$3:$C$532,X$2,Master!$E$3:$E$532,"&gt;="&amp;$A4,Master!$E$3:$E$532,"&lt;"&amp;($A4+1),Master!$H$3:$H$532,"captured")</f>
        <v>0</v>
      </c>
      <c r="Y4" s="10">
        <f>SUMIFS(Master!$F$3:$F$532,Master!$C$3:$C$532,Y$2,Master!$E$3:$E$532,"&gt;="&amp;$A4,Master!$E$3:$E$532,"&lt;"&amp;($A4+1),Master!$H$3:$H$532,"captured")</f>
        <v>0</v>
      </c>
      <c r="Z4" s="10">
        <f>SUMIFS(Master!$F$3:$F$532,Master!$C$3:$C$532,Z$2,Master!$E$3:$E$532,"&gt;="&amp;$A4,Master!$E$3:$E$532,"&lt;"&amp;($A4+1),Master!$H$3:$H$532,"captured")</f>
        <v>99</v>
      </c>
      <c r="AA4" s="10">
        <f>SUMIFS(Master!$F$3:$F$532,Master!$C$3:$C$532,AA$2,Master!$E$3:$E$532,"&gt;="&amp;$A4,Master!$E$3:$E$532,"&lt;"&amp;($A4+1),Master!$H$3:$H$532,"captured")</f>
        <v>0</v>
      </c>
      <c r="AB4" s="10">
        <f>SUMIFS(Master!$F$3:$F$532,Master!$C$3:$C$532,AB$2,Master!$E$3:$E$532,"&gt;="&amp;$A4,Master!$E$3:$E$532,"&lt;"&amp;($A4+1),Master!$H$3:$H$532,"captured")</f>
        <v>0</v>
      </c>
      <c r="AC4" s="10">
        <f>SUMIFS(Master!$F$3:$F$532,Master!$C$3:$C$532,AC$2,Master!$E$3:$E$532,"&gt;="&amp;$A4,Master!$E$3:$E$532,"&lt;"&amp;($A4+1),Master!$H$3:$H$532,"captured")</f>
        <v>0</v>
      </c>
      <c r="AD4" s="10">
        <f>SUMIFS(Master!$F$3:$F$532,Master!$C$3:$C$532,AD$2,Master!$E$3:$E$532,"&gt;="&amp;$A4,Master!$E$3:$E$532,"&lt;"&amp;($A4+1),Master!$H$3:$H$532,"captured")</f>
        <v>0</v>
      </c>
      <c r="AE4" s="10">
        <f>SUMIFS(Master!$F$3:$F$532,Master!$C$3:$C$532,AE$2,Master!$E$3:$E$532,"&gt;="&amp;$A4,Master!$E$3:$E$532,"&lt;"&amp;($A4+1),Master!$H$3:$H$532,"captured")</f>
        <v>0</v>
      </c>
      <c r="AF4" s="10">
        <f>SUMIFS(Master!$F$3:$F$532,Master!$C$3:$C$532,AF$2,Master!$E$3:$E$532,"&gt;="&amp;$A4,Master!$E$3:$E$532,"&lt;"&amp;($A4+1),Master!$H$3:$H$532,"captured")</f>
        <v>0</v>
      </c>
      <c r="AG4" s="10">
        <f>SUMIFS(Master!$F$3:$F$532,Master!$C$3:$C$532,AG$2,Master!$E$3:$E$532,"&gt;="&amp;$A4,Master!$E$3:$E$532,"&lt;"&amp;($A4+1),Master!$H$3:$H$532,"captured")</f>
        <v>0</v>
      </c>
      <c r="AH4" s="10">
        <f>SUMIFS(Master!$F$3:$F$532,Master!$C$3:$C$532,AH$2,Master!$E$3:$E$532,"&gt;="&amp;$A4,Master!$E$3:$E$532,"&lt;"&amp;($A4+1),Master!$H$3:$H$532,"captured")</f>
        <v>0</v>
      </c>
      <c r="AI4" s="10">
        <f>SUMIFS(Master!$F$3:$F$532,Master!$C$3:$C$532,AI$2,Master!$E$3:$E$532,"&gt;="&amp;$A4,Master!$E$3:$E$532,"&lt;"&amp;($A4+1),Master!$H$3:$H$532,"captured")</f>
        <v>548</v>
      </c>
      <c r="AJ4" s="10">
        <f>SUMIFS(Master!$F$3:$F$532,Master!$C$3:$C$532,AJ$2,Master!$E$3:$E$532,"&gt;="&amp;$A4,Master!$E$3:$E$532,"&lt;"&amp;($A4+1),Master!$H$3:$H$532,"captured")</f>
        <v>1548</v>
      </c>
      <c r="AK4" s="10">
        <f>SUMIFS(Master!$F$3:$F$532,Master!$C$3:$C$532,AK$2,Master!$E$3:$E$532,"&gt;="&amp;$A4,Master!$E$3:$E$532,"&lt;"&amp;($A4+1),Master!$H$3:$H$532,"captured")</f>
        <v>299</v>
      </c>
      <c r="AL4" s="10">
        <f>SUMIFS(Master!$F$3:$F$532,Master!$C$3:$C$532,AL$2,Master!$E$3:$E$532,"&gt;="&amp;$A4,Master!$E$3:$E$532,"&lt;"&amp;($A4+1),Master!$H$3:$H$532,"captured")</f>
        <v>2999</v>
      </c>
      <c r="AM4" s="10">
        <f>SUMIFS(Master!$F$3:$F$532,Master!$C$3:$C$532,AM$2,Master!$E$3:$E$532,"&gt;="&amp;$A4,Master!$E$3:$E$532,"&lt;"&amp;($A4+1),Master!$H$3:$H$532,"captured")</f>
        <v>0</v>
      </c>
      <c r="AN4" s="10">
        <f>SUMIFS(Master!$F$3:$F$532,Master!$C$3:$C$532,AN$2,Master!$E$3:$E$532,"&gt;="&amp;$A4,Master!$E$3:$E$532,"&lt;"&amp;($A4+1),Master!$H$3:$H$532,"captured")</f>
        <v>499</v>
      </c>
      <c r="AO4" s="10">
        <f>SUMIFS(Master!$F$3:$F$532,Master!$C$3:$C$532,AO$2,Master!$E$3:$E$532,"&gt;="&amp;$A4,Master!$E$3:$E$532,"&lt;"&amp;($A4+1),Master!$H$3:$H$532,"captured")</f>
        <v>799</v>
      </c>
    </row>
    <row r="5" spans="1:41" x14ac:dyDescent="0.25">
      <c r="A5" s="9">
        <v>46025</v>
      </c>
      <c r="B5" s="10">
        <f>SUMIFS(Master!$F$3:$F$532,Master!$C$3:$C$532,B$2,Master!$E$3:$E$532,"&gt;="&amp;$A5,Master!$E$3:$E$532,"&lt;"&amp;($A5+1),Master!$H$3:$H$532,"captured")</f>
        <v>0</v>
      </c>
      <c r="C5" s="10">
        <f>SUMIFS(Master!$F$3:$F$532,Master!$C$3:$C$532,C$2,Master!$E$3:$E$532,"&gt;="&amp;$A5,Master!$E$3:$E$532,"&lt;"&amp;($A5+1),Master!$H$3:$H$532,"captured")</f>
        <v>0</v>
      </c>
      <c r="D5" s="10">
        <f>SUMIFS(Master!$F$3:$F$532,Master!$C$3:$C$532,D$2,Master!$E$3:$E$532,"&gt;="&amp;$A5,Master!$E$3:$E$532,"&lt;"&amp;($A5+1),Master!$H$3:$H$532,"captured")</f>
        <v>198</v>
      </c>
      <c r="E5" s="10">
        <f>SUMIFS(Master!$F$3:$F$532,Master!$C$3:$C$532,E$2,Master!$E$3:$E$532,"&gt;="&amp;$A5,Master!$E$3:$E$532,"&lt;"&amp;($A5+1),Master!$H$3:$H$532,"captured")</f>
        <v>0</v>
      </c>
      <c r="F5" s="10">
        <f>SUMIFS(Master!$F$3:$F$532,Master!$C$3:$C$532,F$2,Master!$E$3:$E$532,"&gt;="&amp;$A5,Master!$E$3:$E$532,"&lt;"&amp;($A5+1),Master!$H$3:$H$532,"captured")</f>
        <v>499</v>
      </c>
      <c r="G5" s="10">
        <f>SUMIFS(Master!$F$3:$F$532,Master!$C$3:$C$532,G$2,Master!$E$3:$E$532,"&gt;="&amp;$A5,Master!$E$3:$E$532,"&lt;"&amp;($A5+1),Master!$H$3:$H$532,"captured")</f>
        <v>799</v>
      </c>
      <c r="H5" s="10">
        <f>SUMIFS(Master!$F$3:$F$532,Master!$C$3:$C$532,H$2,Master!$E$3:$E$532,"&gt;="&amp;$A5,Master!$E$3:$E$532,"&lt;"&amp;($A5+1),Master!$H$3:$H$532,"captured")</f>
        <v>149</v>
      </c>
      <c r="I5" s="10">
        <f>SUMIFS(Master!$F$3:$F$532,Master!$C$3:$C$532,I$2,Master!$E$3:$E$532,"&gt;="&amp;$A5,Master!$E$3:$E$532,"&lt;"&amp;($A5+1),Master!$H$3:$H$532,"captured")</f>
        <v>299</v>
      </c>
      <c r="J5" s="10">
        <f>SUMIFS(Master!$F$3:$F$532,Master!$C$3:$C$532,J$2,Master!$E$3:$E$532,"&gt;="&amp;$A5,Master!$E$3:$E$532,"&lt;"&amp;($A5+1),Master!$H$3:$H$532,"captured")</f>
        <v>0</v>
      </c>
      <c r="K5" s="10">
        <f>SUMIFS(Master!$F$3:$F$532,Master!$C$3:$C$532,K$2,Master!$E$3:$E$532,"&gt;="&amp;$A5,Master!$E$3:$E$532,"&lt;"&amp;($A5+1),Master!$H$3:$H$532,"captured")</f>
        <v>0</v>
      </c>
      <c r="L5" s="10">
        <f>SUMIFS(Master!$F$3:$F$532,Master!$C$3:$C$532,L$2,Master!$E$3:$E$532,"&gt;="&amp;$A5,Master!$E$3:$E$532,"&lt;"&amp;($A5+1),Master!$H$3:$H$532,"captured")</f>
        <v>0</v>
      </c>
      <c r="M5" s="10">
        <f>SUMIFS(Master!$F$3:$F$532,Master!$C$3:$C$532,M$2,Master!$E$3:$E$532,"&gt;="&amp;$A5,Master!$E$3:$E$532,"&lt;"&amp;($A5+1),Master!$H$3:$H$532,"captured")</f>
        <v>0</v>
      </c>
      <c r="N5" s="10">
        <f>SUMIFS(Master!$F$3:$F$532,Master!$C$3:$C$532,N$2,Master!$E$3:$E$532,"&gt;="&amp;$A5,Master!$E$3:$E$532,"&lt;"&amp;($A5+1),Master!$H$3:$H$532,"captured")</f>
        <v>0</v>
      </c>
      <c r="O5" s="10">
        <f>SUMIFS(Master!$F$3:$F$532,Master!$C$3:$C$532,O$2,Master!$E$3:$E$532,"&gt;="&amp;$A5,Master!$E$3:$E$532,"&lt;"&amp;($A5+1),Master!$H$3:$H$532,"captured")</f>
        <v>149</v>
      </c>
      <c r="P5" s="10">
        <f>SUMIFS(Master!$F$3:$F$532,Master!$C$3:$C$532,P$2,Master!$E$3:$E$532,"&gt;="&amp;$A5,Master!$E$3:$E$532,"&lt;"&amp;($A5+1),Master!$H$3:$H$532,"captured")</f>
        <v>0</v>
      </c>
      <c r="Q5" s="10">
        <f>SUMIFS(Master!$F$3:$F$532,Master!$C$3:$C$532,Q$2,Master!$E$3:$E$532,"&gt;="&amp;$A5,Master!$E$3:$E$532,"&lt;"&amp;($A5+1),Master!$H$3:$H$532,"captured")</f>
        <v>99</v>
      </c>
      <c r="R5" s="10">
        <f>SUMIFS(Master!$F$3:$F$532,Master!$C$3:$C$532,R$2,Master!$E$3:$E$532,"&gt;="&amp;$A5,Master!$E$3:$E$532,"&lt;"&amp;($A5+1),Master!$H$3:$H$532,"captured")</f>
        <v>99</v>
      </c>
      <c r="S5" s="10">
        <f>SUMIFS(Master!$F$3:$F$532,Master!$C$3:$C$532,S$2,Master!$E$3:$E$532,"&gt;="&amp;$A5,Master!$E$3:$E$532,"&lt;"&amp;($A5+1),Master!$H$3:$H$532,"captured")</f>
        <v>0</v>
      </c>
      <c r="T5" s="10">
        <f>SUMIFS(Master!$F$3:$F$532,Master!$C$3:$C$532,T$2,Master!$E$3:$E$532,"&gt;="&amp;$A5,Master!$E$3:$E$532,"&lt;"&amp;($A5+1),Master!$H$3:$H$532,"captured")</f>
        <v>0</v>
      </c>
      <c r="U5" s="10">
        <f>SUMIFS(Master!$F$3:$F$532,Master!$C$3:$C$532,U$2,Master!$E$3:$E$532,"&gt;="&amp;$A5,Master!$E$3:$E$532,"&lt;"&amp;($A5+1),Master!$H$3:$H$532,"captured")</f>
        <v>299</v>
      </c>
      <c r="V5" s="10">
        <f>SUMIFS(Master!$F$3:$F$532,Master!$C$3:$C$532,V$2,Master!$E$3:$E$532,"&gt;="&amp;$A5,Master!$E$3:$E$532,"&lt;"&amp;($A5+1),Master!$H$3:$H$532,"captured")</f>
        <v>0</v>
      </c>
      <c r="W5" s="10">
        <f>SUMIFS(Master!$F$3:$F$532,Master!$C$3:$C$532,W$2,Master!$E$3:$E$532,"&gt;="&amp;$A5,Master!$E$3:$E$532,"&lt;"&amp;($A5+1),Master!$H$3:$H$532,"captured")</f>
        <v>0</v>
      </c>
      <c r="X5" s="10">
        <f>SUMIFS(Master!$F$3:$F$532,Master!$C$3:$C$532,X$2,Master!$E$3:$E$532,"&gt;="&amp;$A5,Master!$E$3:$E$532,"&lt;"&amp;($A5+1),Master!$H$3:$H$532,"captured")</f>
        <v>0</v>
      </c>
      <c r="Y5" s="10">
        <f>SUMIFS(Master!$F$3:$F$532,Master!$C$3:$C$532,Y$2,Master!$E$3:$E$532,"&gt;="&amp;$A5,Master!$E$3:$E$532,"&lt;"&amp;($A5+1),Master!$H$3:$H$532,"captured")</f>
        <v>49</v>
      </c>
      <c r="Z5" s="10">
        <f>SUMIFS(Master!$F$3:$F$532,Master!$C$3:$C$532,Z$2,Master!$E$3:$E$532,"&gt;="&amp;$A5,Master!$E$3:$E$532,"&lt;"&amp;($A5+1),Master!$H$3:$H$532,"captured")</f>
        <v>0</v>
      </c>
      <c r="AA5" s="10">
        <f>SUMIFS(Master!$F$3:$F$532,Master!$C$3:$C$532,AA$2,Master!$E$3:$E$532,"&gt;="&amp;$A5,Master!$E$3:$E$532,"&lt;"&amp;($A5+1),Master!$H$3:$H$532,"captured")</f>
        <v>99</v>
      </c>
      <c r="AB5" s="10">
        <f>SUMIFS(Master!$F$3:$F$532,Master!$C$3:$C$532,AB$2,Master!$E$3:$E$532,"&gt;="&amp;$A5,Master!$E$3:$E$532,"&lt;"&amp;($A5+1),Master!$H$3:$H$532,"captured")</f>
        <v>0</v>
      </c>
      <c r="AC5" s="10">
        <f>SUMIFS(Master!$F$3:$F$532,Master!$C$3:$C$532,AC$2,Master!$E$3:$E$532,"&gt;="&amp;$A5,Master!$E$3:$E$532,"&lt;"&amp;($A5+1),Master!$H$3:$H$532,"captured")</f>
        <v>0</v>
      </c>
      <c r="AD5" s="10">
        <f>SUMIFS(Master!$F$3:$F$532,Master!$C$3:$C$532,AD$2,Master!$E$3:$E$532,"&gt;="&amp;$A5,Master!$E$3:$E$532,"&lt;"&amp;($A5+1),Master!$H$3:$H$532,"captured")</f>
        <v>0</v>
      </c>
      <c r="AE5" s="10">
        <f>SUMIFS(Master!$F$3:$F$532,Master!$C$3:$C$532,AE$2,Master!$E$3:$E$532,"&gt;="&amp;$A5,Master!$E$3:$E$532,"&lt;"&amp;($A5+1),Master!$H$3:$H$532,"captured")</f>
        <v>149</v>
      </c>
      <c r="AF5" s="10">
        <f>SUMIFS(Master!$F$3:$F$532,Master!$C$3:$C$532,AF$2,Master!$E$3:$E$532,"&gt;="&amp;$A5,Master!$E$3:$E$532,"&lt;"&amp;($A5+1),Master!$H$3:$H$532,"captured")</f>
        <v>0</v>
      </c>
      <c r="AG5" s="10">
        <f>SUMIFS(Master!$F$3:$F$532,Master!$C$3:$C$532,AG$2,Master!$E$3:$E$532,"&gt;="&amp;$A5,Master!$E$3:$E$532,"&lt;"&amp;($A5+1),Master!$H$3:$H$532,"captured")</f>
        <v>149</v>
      </c>
      <c r="AH5" s="10">
        <f>SUMIFS(Master!$F$3:$F$532,Master!$C$3:$C$532,AH$2,Master!$E$3:$E$532,"&gt;="&amp;$A5,Master!$E$3:$E$532,"&lt;"&amp;($A5+1),Master!$H$3:$H$532,"captured")</f>
        <v>0</v>
      </c>
      <c r="AI5" s="10">
        <f>SUMIFS(Master!$F$3:$F$532,Master!$C$3:$C$532,AI$2,Master!$E$3:$E$532,"&gt;="&amp;$A5,Master!$E$3:$E$532,"&lt;"&amp;($A5+1),Master!$H$3:$H$532,"captured")</f>
        <v>0</v>
      </c>
      <c r="AJ5" s="10">
        <f>SUMIFS(Master!$F$3:$F$532,Master!$C$3:$C$532,AJ$2,Master!$E$3:$E$532,"&gt;="&amp;$A5,Master!$E$3:$E$532,"&lt;"&amp;($A5+1),Master!$H$3:$H$532,"captured")</f>
        <v>0</v>
      </c>
      <c r="AK5" s="10">
        <f>SUMIFS(Master!$F$3:$F$532,Master!$C$3:$C$532,AK$2,Master!$E$3:$E$532,"&gt;="&amp;$A5,Master!$E$3:$E$532,"&lt;"&amp;($A5+1),Master!$H$3:$H$532,"captured")</f>
        <v>248</v>
      </c>
      <c r="AL5" s="10">
        <f>SUMIFS(Master!$F$3:$F$532,Master!$C$3:$C$532,AL$2,Master!$E$3:$E$532,"&gt;="&amp;$A5,Master!$E$3:$E$532,"&lt;"&amp;($A5+1),Master!$H$3:$H$532,"captured")</f>
        <v>299</v>
      </c>
      <c r="AM5" s="10">
        <f>SUMIFS(Master!$F$3:$F$532,Master!$C$3:$C$532,AM$2,Master!$E$3:$E$532,"&gt;="&amp;$A5,Master!$E$3:$E$532,"&lt;"&amp;($A5+1),Master!$H$3:$H$532,"captured")</f>
        <v>0</v>
      </c>
      <c r="AN5" s="10">
        <f>SUMIFS(Master!$F$3:$F$532,Master!$C$3:$C$532,AN$2,Master!$E$3:$E$532,"&gt;="&amp;$A5,Master!$E$3:$E$532,"&lt;"&amp;($A5+1),Master!$H$3:$H$532,"captured")</f>
        <v>0</v>
      </c>
      <c r="AO5" s="10">
        <f>SUMIFS(Master!$F$3:$F$532,Master!$C$3:$C$532,AO$2,Master!$E$3:$E$532,"&gt;="&amp;$A5,Master!$E$3:$E$532,"&lt;"&amp;($A5+1),Master!$H$3:$H$532,"captured")</f>
        <v>49</v>
      </c>
    </row>
    <row r="6" spans="1:41" x14ac:dyDescent="0.25">
      <c r="A6" s="9">
        <v>46026</v>
      </c>
      <c r="B6" s="10">
        <f>SUMIFS(Master!$F$3:$F$532,Master!$C$3:$C$532,B$2,Master!$E$3:$E$532,"&gt;="&amp;$A6,Master!$E$3:$E$532,"&lt;"&amp;($A6+1),Master!$H$3:$H$532,"captured")</f>
        <v>0</v>
      </c>
      <c r="C6" s="10">
        <f>SUMIFS(Master!$F$3:$F$532,Master!$C$3:$C$532,C$2,Master!$E$3:$E$532,"&gt;="&amp;$A6,Master!$E$3:$E$532,"&lt;"&amp;($A6+1),Master!$H$3:$H$532,"captured")</f>
        <v>0</v>
      </c>
      <c r="D6" s="10">
        <f>SUMIFS(Master!$F$3:$F$532,Master!$C$3:$C$532,D$2,Master!$E$3:$E$532,"&gt;="&amp;$A6,Master!$E$3:$E$532,"&lt;"&amp;($A6+1),Master!$H$3:$H$532,"captured")</f>
        <v>0</v>
      </c>
      <c r="E6" s="10">
        <f>SUMIFS(Master!$F$3:$F$532,Master!$C$3:$C$532,E$2,Master!$E$3:$E$532,"&gt;="&amp;$A6,Master!$E$3:$E$532,"&lt;"&amp;($A6+1),Master!$H$3:$H$532,"captured")</f>
        <v>0</v>
      </c>
      <c r="F6" s="10">
        <f>SUMIFS(Master!$F$3:$F$532,Master!$C$3:$C$532,F$2,Master!$E$3:$E$532,"&gt;="&amp;$A6,Master!$E$3:$E$532,"&lt;"&amp;($A6+1),Master!$H$3:$H$532,"captured")</f>
        <v>0</v>
      </c>
      <c r="G6" s="10">
        <f>SUMIFS(Master!$F$3:$F$532,Master!$C$3:$C$532,G$2,Master!$E$3:$E$532,"&gt;="&amp;$A6,Master!$E$3:$E$532,"&lt;"&amp;($A6+1),Master!$H$3:$H$532,"captured")</f>
        <v>0</v>
      </c>
      <c r="H6" s="10">
        <f>SUMIFS(Master!$F$3:$F$532,Master!$C$3:$C$532,H$2,Master!$E$3:$E$532,"&gt;="&amp;$A6,Master!$E$3:$E$532,"&lt;"&amp;($A6+1),Master!$H$3:$H$532,"captured")</f>
        <v>0</v>
      </c>
      <c r="I6" s="10">
        <f>SUMIFS(Master!$F$3:$F$532,Master!$C$3:$C$532,I$2,Master!$E$3:$E$532,"&gt;="&amp;$A6,Master!$E$3:$E$532,"&lt;"&amp;($A6+1),Master!$H$3:$H$532,"captured")</f>
        <v>0</v>
      </c>
      <c r="J6" s="10">
        <f>SUMIFS(Master!$F$3:$F$532,Master!$C$3:$C$532,J$2,Master!$E$3:$E$532,"&gt;="&amp;$A6,Master!$E$3:$E$532,"&lt;"&amp;($A6+1),Master!$H$3:$H$532,"captured")</f>
        <v>499</v>
      </c>
      <c r="K6" s="10">
        <f>SUMIFS(Master!$F$3:$F$532,Master!$C$3:$C$532,K$2,Master!$E$3:$E$532,"&gt;="&amp;$A6,Master!$E$3:$E$532,"&lt;"&amp;($A6+1),Master!$H$3:$H$532,"captured")</f>
        <v>0</v>
      </c>
      <c r="L6" s="10">
        <f>SUMIFS(Master!$F$3:$F$532,Master!$C$3:$C$532,L$2,Master!$E$3:$E$532,"&gt;="&amp;$A6,Master!$E$3:$E$532,"&lt;"&amp;($A6+1),Master!$H$3:$H$532,"captured")</f>
        <v>0</v>
      </c>
      <c r="M6" s="10">
        <f>SUMIFS(Master!$F$3:$F$532,Master!$C$3:$C$532,M$2,Master!$E$3:$E$532,"&gt;="&amp;$A6,Master!$E$3:$E$532,"&lt;"&amp;($A6+1),Master!$H$3:$H$532,"captured")</f>
        <v>0</v>
      </c>
      <c r="N6" s="10">
        <f>SUMIFS(Master!$F$3:$F$532,Master!$C$3:$C$532,N$2,Master!$E$3:$E$532,"&gt;="&amp;$A6,Master!$E$3:$E$532,"&lt;"&amp;($A6+1),Master!$H$3:$H$532,"captured")</f>
        <v>0</v>
      </c>
      <c r="O6" s="10">
        <f>SUMIFS(Master!$F$3:$F$532,Master!$C$3:$C$532,O$2,Master!$E$3:$E$532,"&gt;="&amp;$A6,Master!$E$3:$E$532,"&lt;"&amp;($A6+1),Master!$H$3:$H$532,"captured")</f>
        <v>99</v>
      </c>
      <c r="P6" s="10">
        <f>SUMIFS(Master!$F$3:$F$532,Master!$C$3:$C$532,P$2,Master!$E$3:$E$532,"&gt;="&amp;$A6,Master!$E$3:$E$532,"&lt;"&amp;($A6+1),Master!$H$3:$H$532,"captured")</f>
        <v>0</v>
      </c>
      <c r="Q6" s="10">
        <f>SUMIFS(Master!$F$3:$F$532,Master!$C$3:$C$532,Q$2,Master!$E$3:$E$532,"&gt;="&amp;$A6,Master!$E$3:$E$532,"&lt;"&amp;($A6+1),Master!$H$3:$H$532,"captured")</f>
        <v>49</v>
      </c>
      <c r="R6" s="10">
        <f>SUMIFS(Master!$F$3:$F$532,Master!$C$3:$C$532,R$2,Master!$E$3:$E$532,"&gt;="&amp;$A6,Master!$E$3:$E$532,"&lt;"&amp;($A6+1),Master!$H$3:$H$532,"captured")</f>
        <v>0</v>
      </c>
      <c r="S6" s="10">
        <f>SUMIFS(Master!$F$3:$F$532,Master!$C$3:$C$532,S$2,Master!$E$3:$E$532,"&gt;="&amp;$A6,Master!$E$3:$E$532,"&lt;"&amp;($A6+1),Master!$H$3:$H$532,"captured")</f>
        <v>0</v>
      </c>
      <c r="T6" s="10">
        <f>SUMIFS(Master!$F$3:$F$532,Master!$C$3:$C$532,T$2,Master!$E$3:$E$532,"&gt;="&amp;$A6,Master!$E$3:$E$532,"&lt;"&amp;($A6+1),Master!$H$3:$H$532,"captured")</f>
        <v>0</v>
      </c>
      <c r="U6" s="10">
        <f>SUMIFS(Master!$F$3:$F$532,Master!$C$3:$C$532,U$2,Master!$E$3:$E$532,"&gt;="&amp;$A6,Master!$E$3:$E$532,"&lt;"&amp;($A6+1),Master!$H$3:$H$532,"captured")</f>
        <v>2999</v>
      </c>
      <c r="V6" s="10">
        <f>SUMIFS(Master!$F$3:$F$532,Master!$C$3:$C$532,V$2,Master!$E$3:$E$532,"&gt;="&amp;$A6,Master!$E$3:$E$532,"&lt;"&amp;($A6+1),Master!$H$3:$H$532,"captured")</f>
        <v>0</v>
      </c>
      <c r="W6" s="10">
        <f>SUMIFS(Master!$F$3:$F$532,Master!$C$3:$C$532,W$2,Master!$E$3:$E$532,"&gt;="&amp;$A6,Master!$E$3:$E$532,"&lt;"&amp;($A6+1),Master!$H$3:$H$532,"captured")</f>
        <v>0</v>
      </c>
      <c r="X6" s="10">
        <f>SUMIFS(Master!$F$3:$F$532,Master!$C$3:$C$532,X$2,Master!$E$3:$E$532,"&gt;="&amp;$A6,Master!$E$3:$E$532,"&lt;"&amp;($A6+1),Master!$H$3:$H$532,"captured")</f>
        <v>0</v>
      </c>
      <c r="Y6" s="10">
        <f>SUMIFS(Master!$F$3:$F$532,Master!$C$3:$C$532,Y$2,Master!$E$3:$E$532,"&gt;="&amp;$A6,Master!$E$3:$E$532,"&lt;"&amp;($A6+1),Master!$H$3:$H$532,"captured")</f>
        <v>0</v>
      </c>
      <c r="Z6" s="10">
        <f>SUMIFS(Master!$F$3:$F$532,Master!$C$3:$C$532,Z$2,Master!$E$3:$E$532,"&gt;="&amp;$A6,Master!$E$3:$E$532,"&lt;"&amp;($A6+1),Master!$H$3:$H$532,"captured")</f>
        <v>0</v>
      </c>
      <c r="AA6" s="10">
        <f>SUMIFS(Master!$F$3:$F$532,Master!$C$3:$C$532,AA$2,Master!$E$3:$E$532,"&gt;="&amp;$A6,Master!$E$3:$E$532,"&lt;"&amp;($A6+1),Master!$H$3:$H$532,"captured")</f>
        <v>0</v>
      </c>
      <c r="AB6" s="10">
        <f>SUMIFS(Master!$F$3:$F$532,Master!$C$3:$C$532,AB$2,Master!$E$3:$E$532,"&gt;="&amp;$A6,Master!$E$3:$E$532,"&lt;"&amp;($A6+1),Master!$H$3:$H$532,"captured")</f>
        <v>49</v>
      </c>
      <c r="AC6" s="10">
        <f>SUMIFS(Master!$F$3:$F$532,Master!$C$3:$C$532,AC$2,Master!$E$3:$E$532,"&gt;="&amp;$A6,Master!$E$3:$E$532,"&lt;"&amp;($A6+1),Master!$H$3:$H$532,"captured")</f>
        <v>0</v>
      </c>
      <c r="AD6" s="10">
        <f>SUMIFS(Master!$F$3:$F$532,Master!$C$3:$C$532,AD$2,Master!$E$3:$E$532,"&gt;="&amp;$A6,Master!$E$3:$E$532,"&lt;"&amp;($A6+1),Master!$H$3:$H$532,"captured")</f>
        <v>99</v>
      </c>
      <c r="AE6" s="10">
        <f>SUMIFS(Master!$F$3:$F$532,Master!$C$3:$C$532,AE$2,Master!$E$3:$E$532,"&gt;="&amp;$A6,Master!$E$3:$E$532,"&lt;"&amp;($A6+1),Master!$H$3:$H$532,"captured")</f>
        <v>0</v>
      </c>
      <c r="AF6" s="10">
        <f>SUMIFS(Master!$F$3:$F$532,Master!$C$3:$C$532,AF$2,Master!$E$3:$E$532,"&gt;="&amp;$A6,Master!$E$3:$E$532,"&lt;"&amp;($A6+1),Master!$H$3:$H$532,"captured")</f>
        <v>0</v>
      </c>
      <c r="AG6" s="10">
        <f>SUMIFS(Master!$F$3:$F$532,Master!$C$3:$C$532,AG$2,Master!$E$3:$E$532,"&gt;="&amp;$A6,Master!$E$3:$E$532,"&lt;"&amp;($A6+1),Master!$H$3:$H$532,"captured")</f>
        <v>49</v>
      </c>
      <c r="AH6" s="10">
        <f>SUMIFS(Master!$F$3:$F$532,Master!$C$3:$C$532,AH$2,Master!$E$3:$E$532,"&gt;="&amp;$A6,Master!$E$3:$E$532,"&lt;"&amp;($A6+1),Master!$H$3:$H$532,"captured")</f>
        <v>4999</v>
      </c>
      <c r="AI6" s="10">
        <f>SUMIFS(Master!$F$3:$F$532,Master!$C$3:$C$532,AI$2,Master!$E$3:$E$532,"&gt;="&amp;$A6,Master!$E$3:$E$532,"&lt;"&amp;($A6+1),Master!$H$3:$H$532,"captured")</f>
        <v>0</v>
      </c>
      <c r="AJ6" s="10">
        <f>SUMIFS(Master!$F$3:$F$532,Master!$C$3:$C$532,AJ$2,Master!$E$3:$E$532,"&gt;="&amp;$A6,Master!$E$3:$E$532,"&lt;"&amp;($A6+1),Master!$H$3:$H$532,"captured")</f>
        <v>0</v>
      </c>
      <c r="AK6" s="10">
        <f>SUMIFS(Master!$F$3:$F$532,Master!$C$3:$C$532,AK$2,Master!$E$3:$E$532,"&gt;="&amp;$A6,Master!$E$3:$E$532,"&lt;"&amp;($A6+1),Master!$H$3:$H$532,"captured")</f>
        <v>149</v>
      </c>
      <c r="AL6" s="10">
        <f>SUMIFS(Master!$F$3:$F$532,Master!$C$3:$C$532,AL$2,Master!$E$3:$E$532,"&gt;="&amp;$A6,Master!$E$3:$E$532,"&lt;"&amp;($A6+1),Master!$H$3:$H$532,"captured")</f>
        <v>49</v>
      </c>
      <c r="AM6" s="10">
        <f>SUMIFS(Master!$F$3:$F$532,Master!$C$3:$C$532,AM$2,Master!$E$3:$E$532,"&gt;="&amp;$A6,Master!$E$3:$E$532,"&lt;"&amp;($A6+1),Master!$H$3:$H$532,"captured")</f>
        <v>0</v>
      </c>
      <c r="AN6" s="10">
        <f>SUMIFS(Master!$F$3:$F$532,Master!$C$3:$C$532,AN$2,Master!$E$3:$E$532,"&gt;="&amp;$A6,Master!$E$3:$E$532,"&lt;"&amp;($A6+1),Master!$H$3:$H$532,"captured")</f>
        <v>0</v>
      </c>
      <c r="AO6" s="10">
        <f>SUMIFS(Master!$F$3:$F$532,Master!$C$3:$C$532,AO$2,Master!$E$3:$E$532,"&gt;="&amp;$A6,Master!$E$3:$E$532,"&lt;"&amp;($A6+1),Master!$H$3:$H$532,"captured")</f>
        <v>0</v>
      </c>
    </row>
    <row r="7" spans="1:41" x14ac:dyDescent="0.25">
      <c r="A7" s="9">
        <v>46027</v>
      </c>
      <c r="B7" s="10">
        <f>SUMIFS(Master!$F$3:$F$532,Master!$C$3:$C$532,B$2,Master!$E$3:$E$532,"&gt;="&amp;$A7,Master!$E$3:$E$532,"&lt;"&amp;($A7+1),Master!$H$3:$H$532,"captured")</f>
        <v>1499</v>
      </c>
      <c r="C7" s="10">
        <f>SUMIFS(Master!$F$3:$F$532,Master!$C$3:$C$532,C$2,Master!$E$3:$E$532,"&gt;="&amp;$A7,Master!$E$3:$E$532,"&lt;"&amp;($A7+1),Master!$H$3:$H$532,"captured")</f>
        <v>0</v>
      </c>
      <c r="D7" s="10">
        <f>SUMIFS(Master!$F$3:$F$532,Master!$C$3:$C$532,D$2,Master!$E$3:$E$532,"&gt;="&amp;$A7,Master!$E$3:$E$532,"&lt;"&amp;($A7+1),Master!$H$3:$H$532,"captured")</f>
        <v>99</v>
      </c>
      <c r="E7" s="10">
        <f>SUMIFS(Master!$F$3:$F$532,Master!$C$3:$C$532,E$2,Master!$E$3:$E$532,"&gt;="&amp;$A7,Master!$E$3:$E$532,"&lt;"&amp;($A7+1),Master!$H$3:$H$532,"captured")</f>
        <v>0</v>
      </c>
      <c r="F7" s="10">
        <f>SUMIFS(Master!$F$3:$F$532,Master!$C$3:$C$532,F$2,Master!$E$3:$E$532,"&gt;="&amp;$A7,Master!$E$3:$E$532,"&lt;"&amp;($A7+1),Master!$H$3:$H$532,"captured")</f>
        <v>0</v>
      </c>
      <c r="G7" s="10">
        <f>SUMIFS(Master!$F$3:$F$532,Master!$C$3:$C$532,G$2,Master!$E$3:$E$532,"&gt;="&amp;$A7,Master!$E$3:$E$532,"&lt;"&amp;($A7+1),Master!$H$3:$H$532,"captured")</f>
        <v>1499</v>
      </c>
      <c r="H7" s="10">
        <f>SUMIFS(Master!$F$3:$F$532,Master!$C$3:$C$532,H$2,Master!$E$3:$E$532,"&gt;="&amp;$A7,Master!$E$3:$E$532,"&lt;"&amp;($A7+1),Master!$H$3:$H$532,"captured")</f>
        <v>4498</v>
      </c>
      <c r="I7" s="10">
        <f>SUMIFS(Master!$F$3:$F$532,Master!$C$3:$C$532,I$2,Master!$E$3:$E$532,"&gt;="&amp;$A7,Master!$E$3:$E$532,"&lt;"&amp;($A7+1),Master!$H$3:$H$532,"captured")</f>
        <v>0</v>
      </c>
      <c r="J7" s="10">
        <f>SUMIFS(Master!$F$3:$F$532,Master!$C$3:$C$532,J$2,Master!$E$3:$E$532,"&gt;="&amp;$A7,Master!$E$3:$E$532,"&lt;"&amp;($A7+1),Master!$H$3:$H$532,"captured")</f>
        <v>149</v>
      </c>
      <c r="K7" s="10">
        <f>SUMIFS(Master!$F$3:$F$532,Master!$C$3:$C$532,K$2,Master!$E$3:$E$532,"&gt;="&amp;$A7,Master!$E$3:$E$532,"&lt;"&amp;($A7+1),Master!$H$3:$H$532,"captured")</f>
        <v>0</v>
      </c>
      <c r="L7" s="10">
        <f>SUMIFS(Master!$F$3:$F$532,Master!$C$3:$C$532,L$2,Master!$E$3:$E$532,"&gt;="&amp;$A7,Master!$E$3:$E$532,"&lt;"&amp;($A7+1),Master!$H$3:$H$532,"captured")</f>
        <v>0</v>
      </c>
      <c r="M7" s="10">
        <f>SUMIFS(Master!$F$3:$F$532,Master!$C$3:$C$532,M$2,Master!$E$3:$E$532,"&gt;="&amp;$A7,Master!$E$3:$E$532,"&lt;"&amp;($A7+1),Master!$H$3:$H$532,"captured")</f>
        <v>0</v>
      </c>
      <c r="N7" s="10">
        <f>SUMIFS(Master!$F$3:$F$532,Master!$C$3:$C$532,N$2,Master!$E$3:$E$532,"&gt;="&amp;$A7,Master!$E$3:$E$532,"&lt;"&amp;($A7+1),Master!$H$3:$H$532,"captured")</f>
        <v>0</v>
      </c>
      <c r="O7" s="10">
        <f>SUMIFS(Master!$F$3:$F$532,Master!$C$3:$C$532,O$2,Master!$E$3:$E$532,"&gt;="&amp;$A7,Master!$E$3:$E$532,"&lt;"&amp;($A7+1),Master!$H$3:$H$532,"captured")</f>
        <v>1399</v>
      </c>
      <c r="P7" s="10">
        <f>SUMIFS(Master!$F$3:$F$532,Master!$C$3:$C$532,P$2,Master!$E$3:$E$532,"&gt;="&amp;$A7,Master!$E$3:$E$532,"&lt;"&amp;($A7+1),Master!$H$3:$H$532,"captured")</f>
        <v>0</v>
      </c>
      <c r="Q7" s="10">
        <f>SUMIFS(Master!$F$3:$F$532,Master!$C$3:$C$532,Q$2,Master!$E$3:$E$532,"&gt;="&amp;$A7,Master!$E$3:$E$532,"&lt;"&amp;($A7+1),Master!$H$3:$H$532,"captured")</f>
        <v>149</v>
      </c>
      <c r="R7" s="10">
        <f>SUMIFS(Master!$F$3:$F$532,Master!$C$3:$C$532,R$2,Master!$E$3:$E$532,"&gt;="&amp;$A7,Master!$E$3:$E$532,"&lt;"&amp;($A7+1),Master!$H$3:$H$532,"captured")</f>
        <v>0</v>
      </c>
      <c r="S7" s="10">
        <f>SUMIFS(Master!$F$3:$F$532,Master!$C$3:$C$532,S$2,Master!$E$3:$E$532,"&gt;="&amp;$A7,Master!$E$3:$E$532,"&lt;"&amp;($A7+1),Master!$H$3:$H$532,"captured")</f>
        <v>0</v>
      </c>
      <c r="T7" s="10">
        <f>SUMIFS(Master!$F$3:$F$532,Master!$C$3:$C$532,T$2,Master!$E$3:$E$532,"&gt;="&amp;$A7,Master!$E$3:$E$532,"&lt;"&amp;($A7+1),Master!$H$3:$H$532,"captured")</f>
        <v>0</v>
      </c>
      <c r="U7" s="10">
        <f>SUMIFS(Master!$F$3:$F$532,Master!$C$3:$C$532,U$2,Master!$E$3:$E$532,"&gt;="&amp;$A7,Master!$E$3:$E$532,"&lt;"&amp;($A7+1),Master!$H$3:$H$532,"captured")</f>
        <v>0</v>
      </c>
      <c r="V7" s="10">
        <f>SUMIFS(Master!$F$3:$F$532,Master!$C$3:$C$532,V$2,Master!$E$3:$E$532,"&gt;="&amp;$A7,Master!$E$3:$E$532,"&lt;"&amp;($A7+1),Master!$H$3:$H$532,"captured")</f>
        <v>499</v>
      </c>
      <c r="W7" s="10">
        <f>SUMIFS(Master!$F$3:$F$532,Master!$C$3:$C$532,W$2,Master!$E$3:$E$532,"&gt;="&amp;$A7,Master!$E$3:$E$532,"&lt;"&amp;($A7+1),Master!$H$3:$H$532,"captured")</f>
        <v>448</v>
      </c>
      <c r="X7" s="10">
        <f>SUMIFS(Master!$F$3:$F$532,Master!$C$3:$C$532,X$2,Master!$E$3:$E$532,"&gt;="&amp;$A7,Master!$E$3:$E$532,"&lt;"&amp;($A7+1),Master!$H$3:$H$532,"captured")</f>
        <v>0</v>
      </c>
      <c r="Y7" s="10">
        <f>SUMIFS(Master!$F$3:$F$532,Master!$C$3:$C$532,Y$2,Master!$E$3:$E$532,"&gt;="&amp;$A7,Master!$E$3:$E$532,"&lt;"&amp;($A7+1),Master!$H$3:$H$532,"captured")</f>
        <v>0</v>
      </c>
      <c r="Z7" s="10">
        <f>SUMIFS(Master!$F$3:$F$532,Master!$C$3:$C$532,Z$2,Master!$E$3:$E$532,"&gt;="&amp;$A7,Master!$E$3:$E$532,"&lt;"&amp;($A7+1),Master!$H$3:$H$532,"captured")</f>
        <v>4498</v>
      </c>
      <c r="AA7" s="10">
        <f>SUMIFS(Master!$F$3:$F$532,Master!$C$3:$C$532,AA$2,Master!$E$3:$E$532,"&gt;="&amp;$A7,Master!$E$3:$E$532,"&lt;"&amp;($A7+1),Master!$H$3:$H$532,"captured")</f>
        <v>0</v>
      </c>
      <c r="AB7" s="10">
        <f>SUMIFS(Master!$F$3:$F$532,Master!$C$3:$C$532,AB$2,Master!$E$3:$E$532,"&gt;="&amp;$A7,Master!$E$3:$E$532,"&lt;"&amp;($A7+1),Master!$H$3:$H$532,"captured")</f>
        <v>0</v>
      </c>
      <c r="AC7" s="10">
        <f>SUMIFS(Master!$F$3:$F$532,Master!$C$3:$C$532,AC$2,Master!$E$3:$E$532,"&gt;="&amp;$A7,Master!$E$3:$E$532,"&lt;"&amp;($A7+1),Master!$H$3:$H$532,"captured")</f>
        <v>0</v>
      </c>
      <c r="AD7" s="10">
        <f>SUMIFS(Master!$F$3:$F$532,Master!$C$3:$C$532,AD$2,Master!$E$3:$E$532,"&gt;="&amp;$A7,Master!$E$3:$E$532,"&lt;"&amp;($A7+1),Master!$H$3:$H$532,"captured")</f>
        <v>799</v>
      </c>
      <c r="AE7" s="10">
        <f>SUMIFS(Master!$F$3:$F$532,Master!$C$3:$C$532,AE$2,Master!$E$3:$E$532,"&gt;="&amp;$A7,Master!$E$3:$E$532,"&lt;"&amp;($A7+1),Master!$H$3:$H$532,"captured")</f>
        <v>0</v>
      </c>
      <c r="AF7" s="10">
        <f>SUMIFS(Master!$F$3:$F$532,Master!$C$3:$C$532,AF$2,Master!$E$3:$E$532,"&gt;="&amp;$A7,Master!$E$3:$E$532,"&lt;"&amp;($A7+1),Master!$H$3:$H$532,"captured")</f>
        <v>49</v>
      </c>
      <c r="AG7" s="10">
        <f>SUMIFS(Master!$F$3:$F$532,Master!$C$3:$C$532,AG$2,Master!$E$3:$E$532,"&gt;="&amp;$A7,Master!$E$3:$E$532,"&lt;"&amp;($A7+1),Master!$H$3:$H$532,"captured")</f>
        <v>0</v>
      </c>
      <c r="AH7" s="10">
        <f>SUMIFS(Master!$F$3:$F$532,Master!$C$3:$C$532,AH$2,Master!$E$3:$E$532,"&gt;="&amp;$A7,Master!$E$3:$E$532,"&lt;"&amp;($A7+1),Master!$H$3:$H$532,"captured")</f>
        <v>0</v>
      </c>
      <c r="AI7" s="10">
        <f>SUMIFS(Master!$F$3:$F$532,Master!$C$3:$C$532,AI$2,Master!$E$3:$E$532,"&gt;="&amp;$A7,Master!$E$3:$E$532,"&lt;"&amp;($A7+1),Master!$H$3:$H$532,"captured")</f>
        <v>2999</v>
      </c>
      <c r="AJ7" s="10">
        <f>SUMIFS(Master!$F$3:$F$532,Master!$C$3:$C$532,AJ$2,Master!$E$3:$E$532,"&gt;="&amp;$A7,Master!$E$3:$E$532,"&lt;"&amp;($A7+1),Master!$H$3:$H$532,"captured")</f>
        <v>0</v>
      </c>
      <c r="AK7" s="10">
        <f>SUMIFS(Master!$F$3:$F$532,Master!$C$3:$C$532,AK$2,Master!$E$3:$E$532,"&gt;="&amp;$A7,Master!$E$3:$E$532,"&lt;"&amp;($A7+1),Master!$H$3:$H$532,"captured")</f>
        <v>0</v>
      </c>
      <c r="AL7" s="10">
        <f>SUMIFS(Master!$F$3:$F$532,Master!$C$3:$C$532,AL$2,Master!$E$3:$E$532,"&gt;="&amp;$A7,Master!$E$3:$E$532,"&lt;"&amp;($A7+1),Master!$H$3:$H$532,"captured")</f>
        <v>1499</v>
      </c>
      <c r="AM7" s="10">
        <f>SUMIFS(Master!$F$3:$F$532,Master!$C$3:$C$532,AM$2,Master!$E$3:$E$532,"&gt;="&amp;$A7,Master!$E$3:$E$532,"&lt;"&amp;($A7+1),Master!$H$3:$H$532,"captured")</f>
        <v>1499</v>
      </c>
      <c r="AN7" s="10">
        <f>SUMIFS(Master!$F$3:$F$532,Master!$C$3:$C$532,AN$2,Master!$E$3:$E$532,"&gt;="&amp;$A7,Master!$E$3:$E$532,"&lt;"&amp;($A7+1),Master!$H$3:$H$532,"captured")</f>
        <v>299</v>
      </c>
      <c r="AO7" s="10">
        <f>SUMIFS(Master!$F$3:$F$532,Master!$C$3:$C$532,AO$2,Master!$E$3:$E$532,"&gt;="&amp;$A7,Master!$E$3:$E$532,"&lt;"&amp;($A7+1),Master!$H$3:$H$532,"captured")</f>
        <v>0</v>
      </c>
    </row>
    <row r="8" spans="1:41" x14ac:dyDescent="0.25">
      <c r="A8" s="9">
        <v>46028</v>
      </c>
      <c r="B8" s="10">
        <f>SUMIFS(Master!$F$3:$F$532,Master!$C$3:$C$532,B$2,Master!$E$3:$E$532,"&gt;="&amp;$A8,Master!$E$3:$E$532,"&lt;"&amp;($A8+1),Master!$H$3:$H$532,"captured")</f>
        <v>149</v>
      </c>
      <c r="C8" s="10">
        <f>SUMIFS(Master!$F$3:$F$532,Master!$C$3:$C$532,C$2,Master!$E$3:$E$532,"&gt;="&amp;$A8,Master!$E$3:$E$532,"&lt;"&amp;($A8+1),Master!$H$3:$H$532,"captured")</f>
        <v>0</v>
      </c>
      <c r="D8" s="10">
        <f>SUMIFS(Master!$F$3:$F$532,Master!$C$3:$C$532,D$2,Master!$E$3:$E$532,"&gt;="&amp;$A8,Master!$E$3:$E$532,"&lt;"&amp;($A8+1),Master!$H$3:$H$532,"captured")</f>
        <v>799</v>
      </c>
      <c r="E8" s="10">
        <f>SUMIFS(Master!$F$3:$F$532,Master!$C$3:$C$532,E$2,Master!$E$3:$E$532,"&gt;="&amp;$A8,Master!$E$3:$E$532,"&lt;"&amp;($A8+1),Master!$H$3:$H$532,"captured")</f>
        <v>0</v>
      </c>
      <c r="F8" s="10">
        <f>SUMIFS(Master!$F$3:$F$532,Master!$C$3:$C$532,F$2,Master!$E$3:$E$532,"&gt;="&amp;$A8,Master!$E$3:$E$532,"&lt;"&amp;($A8+1),Master!$H$3:$H$532,"captured")</f>
        <v>0</v>
      </c>
      <c r="G8" s="10">
        <f>SUMIFS(Master!$F$3:$F$532,Master!$C$3:$C$532,G$2,Master!$E$3:$E$532,"&gt;="&amp;$A8,Master!$E$3:$E$532,"&lt;"&amp;($A8+1),Master!$H$3:$H$532,"captured")</f>
        <v>0</v>
      </c>
      <c r="H8" s="10">
        <f>SUMIFS(Master!$F$3:$F$532,Master!$C$3:$C$532,H$2,Master!$E$3:$E$532,"&gt;="&amp;$A8,Master!$E$3:$E$532,"&lt;"&amp;($A8+1),Master!$H$3:$H$532,"captured")</f>
        <v>0</v>
      </c>
      <c r="I8" s="10">
        <f>SUMIFS(Master!$F$3:$F$532,Master!$C$3:$C$532,I$2,Master!$E$3:$E$532,"&gt;="&amp;$A8,Master!$E$3:$E$532,"&lt;"&amp;($A8+1),Master!$H$3:$H$532,"captured")</f>
        <v>0</v>
      </c>
      <c r="J8" s="10">
        <f>SUMIFS(Master!$F$3:$F$532,Master!$C$3:$C$532,J$2,Master!$E$3:$E$532,"&gt;="&amp;$A8,Master!$E$3:$E$532,"&lt;"&amp;($A8+1),Master!$H$3:$H$532,"captured")</f>
        <v>149</v>
      </c>
      <c r="K8" s="10">
        <f>SUMIFS(Master!$F$3:$F$532,Master!$C$3:$C$532,K$2,Master!$E$3:$E$532,"&gt;="&amp;$A8,Master!$E$3:$E$532,"&lt;"&amp;($A8+1),Master!$H$3:$H$532,"captured")</f>
        <v>0</v>
      </c>
      <c r="L8" s="10">
        <f>SUMIFS(Master!$F$3:$F$532,Master!$C$3:$C$532,L$2,Master!$E$3:$E$532,"&gt;="&amp;$A8,Master!$E$3:$E$532,"&lt;"&amp;($A8+1),Master!$H$3:$H$532,"captured")</f>
        <v>1499</v>
      </c>
      <c r="M8" s="10">
        <f>SUMIFS(Master!$F$3:$F$532,Master!$C$3:$C$532,M$2,Master!$E$3:$E$532,"&gt;="&amp;$A8,Master!$E$3:$E$532,"&lt;"&amp;($A8+1),Master!$H$3:$H$532,"captured")</f>
        <v>0</v>
      </c>
      <c r="N8" s="10">
        <f>SUMIFS(Master!$F$3:$F$532,Master!$C$3:$C$532,N$2,Master!$E$3:$E$532,"&gt;="&amp;$A8,Master!$E$3:$E$532,"&lt;"&amp;($A8+1),Master!$H$3:$H$532,"captured")</f>
        <v>0</v>
      </c>
      <c r="O8" s="10">
        <f>SUMIFS(Master!$F$3:$F$532,Master!$C$3:$C$532,O$2,Master!$E$3:$E$532,"&gt;="&amp;$A8,Master!$E$3:$E$532,"&lt;"&amp;($A8+1),Master!$H$3:$H$532,"captured")</f>
        <v>0</v>
      </c>
      <c r="P8" s="10">
        <f>SUMIFS(Master!$F$3:$F$532,Master!$C$3:$C$532,P$2,Master!$E$3:$E$532,"&gt;="&amp;$A8,Master!$E$3:$E$532,"&lt;"&amp;($A8+1),Master!$H$3:$H$532,"captured")</f>
        <v>0</v>
      </c>
      <c r="Q8" s="10">
        <f>SUMIFS(Master!$F$3:$F$532,Master!$C$3:$C$532,Q$2,Master!$E$3:$E$532,"&gt;="&amp;$A8,Master!$E$3:$E$532,"&lt;"&amp;($A8+1),Master!$H$3:$H$532,"captured")</f>
        <v>0</v>
      </c>
      <c r="R8" s="10">
        <f>SUMIFS(Master!$F$3:$F$532,Master!$C$3:$C$532,R$2,Master!$E$3:$E$532,"&gt;="&amp;$A8,Master!$E$3:$E$532,"&lt;"&amp;($A8+1),Master!$H$3:$H$532,"captured")</f>
        <v>0</v>
      </c>
      <c r="S8" s="10">
        <f>SUMIFS(Master!$F$3:$F$532,Master!$C$3:$C$532,S$2,Master!$E$3:$E$532,"&gt;="&amp;$A8,Master!$E$3:$E$532,"&lt;"&amp;($A8+1),Master!$H$3:$H$532,"captured")</f>
        <v>499</v>
      </c>
      <c r="T8" s="10">
        <f>SUMIFS(Master!$F$3:$F$532,Master!$C$3:$C$532,T$2,Master!$E$3:$E$532,"&gt;="&amp;$A8,Master!$E$3:$E$532,"&lt;"&amp;($A8+1),Master!$H$3:$H$532,"captured")</f>
        <v>0</v>
      </c>
      <c r="U8" s="10">
        <f>SUMIFS(Master!$F$3:$F$532,Master!$C$3:$C$532,U$2,Master!$E$3:$E$532,"&gt;="&amp;$A8,Master!$E$3:$E$532,"&lt;"&amp;($A8+1),Master!$H$3:$H$532,"captured")</f>
        <v>0</v>
      </c>
      <c r="V8" s="10">
        <f>SUMIFS(Master!$F$3:$F$532,Master!$C$3:$C$532,V$2,Master!$E$3:$E$532,"&gt;="&amp;$A8,Master!$E$3:$E$532,"&lt;"&amp;($A8+1),Master!$H$3:$H$532,"captured")</f>
        <v>0</v>
      </c>
      <c r="W8" s="10">
        <f>SUMIFS(Master!$F$3:$F$532,Master!$C$3:$C$532,W$2,Master!$E$3:$E$532,"&gt;="&amp;$A8,Master!$E$3:$E$532,"&lt;"&amp;($A8+1),Master!$H$3:$H$532,"captured")</f>
        <v>0</v>
      </c>
      <c r="X8" s="10">
        <f>SUMIFS(Master!$F$3:$F$532,Master!$C$3:$C$532,X$2,Master!$E$3:$E$532,"&gt;="&amp;$A8,Master!$E$3:$E$532,"&lt;"&amp;($A8+1),Master!$H$3:$H$532,"captured")</f>
        <v>0</v>
      </c>
      <c r="Y8" s="10">
        <f>SUMIFS(Master!$F$3:$F$532,Master!$C$3:$C$532,Y$2,Master!$E$3:$E$532,"&gt;="&amp;$A8,Master!$E$3:$E$532,"&lt;"&amp;($A8+1),Master!$H$3:$H$532,"captured")</f>
        <v>0</v>
      </c>
      <c r="Z8" s="10">
        <f>SUMIFS(Master!$F$3:$F$532,Master!$C$3:$C$532,Z$2,Master!$E$3:$E$532,"&gt;="&amp;$A8,Master!$E$3:$E$532,"&lt;"&amp;($A8+1),Master!$H$3:$H$532,"captured")</f>
        <v>898</v>
      </c>
      <c r="AA8" s="10">
        <f>SUMIFS(Master!$F$3:$F$532,Master!$C$3:$C$532,AA$2,Master!$E$3:$E$532,"&gt;="&amp;$A8,Master!$E$3:$E$532,"&lt;"&amp;($A8+1),Master!$H$3:$H$532,"captured")</f>
        <v>49</v>
      </c>
      <c r="AB8" s="10">
        <f>SUMIFS(Master!$F$3:$F$532,Master!$C$3:$C$532,AB$2,Master!$E$3:$E$532,"&gt;="&amp;$A8,Master!$E$3:$E$532,"&lt;"&amp;($A8+1),Master!$H$3:$H$532,"captured")</f>
        <v>0</v>
      </c>
      <c r="AC8" s="10">
        <f>SUMIFS(Master!$F$3:$F$532,Master!$C$3:$C$532,AC$2,Master!$E$3:$E$532,"&gt;="&amp;$A8,Master!$E$3:$E$532,"&lt;"&amp;($A8+1),Master!$H$3:$H$532,"captured")</f>
        <v>0</v>
      </c>
      <c r="AD8" s="10">
        <f>SUMIFS(Master!$F$3:$F$532,Master!$C$3:$C$532,AD$2,Master!$E$3:$E$532,"&gt;="&amp;$A8,Master!$E$3:$E$532,"&lt;"&amp;($A8+1),Master!$H$3:$H$532,"captured")</f>
        <v>0</v>
      </c>
      <c r="AE8" s="10">
        <f>SUMIFS(Master!$F$3:$F$532,Master!$C$3:$C$532,AE$2,Master!$E$3:$E$532,"&gt;="&amp;$A8,Master!$E$3:$E$532,"&lt;"&amp;($A8+1),Master!$H$3:$H$532,"captured")</f>
        <v>0</v>
      </c>
      <c r="AF8" s="10">
        <f>SUMIFS(Master!$F$3:$F$532,Master!$C$3:$C$532,AF$2,Master!$E$3:$E$532,"&gt;="&amp;$A8,Master!$E$3:$E$532,"&lt;"&amp;($A8+1),Master!$H$3:$H$532,"captured")</f>
        <v>0</v>
      </c>
      <c r="AG8" s="10">
        <f>SUMIFS(Master!$F$3:$F$532,Master!$C$3:$C$532,AG$2,Master!$E$3:$E$532,"&gt;="&amp;$A8,Master!$E$3:$E$532,"&lt;"&amp;($A8+1),Master!$H$3:$H$532,"captured")</f>
        <v>149</v>
      </c>
      <c r="AH8" s="10">
        <f>SUMIFS(Master!$F$3:$F$532,Master!$C$3:$C$532,AH$2,Master!$E$3:$E$532,"&gt;="&amp;$A8,Master!$E$3:$E$532,"&lt;"&amp;($A8+1),Master!$H$3:$H$532,"captured")</f>
        <v>0</v>
      </c>
      <c r="AI8" s="10">
        <f>SUMIFS(Master!$F$3:$F$532,Master!$C$3:$C$532,AI$2,Master!$E$3:$E$532,"&gt;="&amp;$A8,Master!$E$3:$E$532,"&lt;"&amp;($A8+1),Master!$H$3:$H$532,"captured")</f>
        <v>0</v>
      </c>
      <c r="AJ8" s="10">
        <f>SUMIFS(Master!$F$3:$F$532,Master!$C$3:$C$532,AJ$2,Master!$E$3:$E$532,"&gt;="&amp;$A8,Master!$E$3:$E$532,"&lt;"&amp;($A8+1),Master!$H$3:$H$532,"captured")</f>
        <v>0</v>
      </c>
      <c r="AK8" s="10">
        <f>SUMIFS(Master!$F$3:$F$532,Master!$C$3:$C$532,AK$2,Master!$E$3:$E$532,"&gt;="&amp;$A8,Master!$E$3:$E$532,"&lt;"&amp;($A8+1),Master!$H$3:$H$532,"captured")</f>
        <v>0</v>
      </c>
      <c r="AL8" s="10">
        <f>SUMIFS(Master!$F$3:$F$532,Master!$C$3:$C$532,AL$2,Master!$E$3:$E$532,"&gt;="&amp;$A8,Master!$E$3:$E$532,"&lt;"&amp;($A8+1),Master!$H$3:$H$532,"captured")</f>
        <v>0</v>
      </c>
      <c r="AM8" s="10">
        <f>SUMIFS(Master!$F$3:$F$532,Master!$C$3:$C$532,AM$2,Master!$E$3:$E$532,"&gt;="&amp;$A8,Master!$E$3:$E$532,"&lt;"&amp;($A8+1),Master!$H$3:$H$532,"captured")</f>
        <v>99</v>
      </c>
      <c r="AN8" s="10">
        <f>SUMIFS(Master!$F$3:$F$532,Master!$C$3:$C$532,AN$2,Master!$E$3:$E$532,"&gt;="&amp;$A8,Master!$E$3:$E$532,"&lt;"&amp;($A8+1),Master!$H$3:$H$532,"captured")</f>
        <v>0</v>
      </c>
      <c r="AO8" s="10">
        <f>SUMIFS(Master!$F$3:$F$532,Master!$C$3:$C$532,AO$2,Master!$E$3:$E$532,"&gt;="&amp;$A8,Master!$E$3:$E$532,"&lt;"&amp;($A8+1),Master!$H$3:$H$532,"captured")</f>
        <v>0</v>
      </c>
    </row>
    <row r="9" spans="1:41" x14ac:dyDescent="0.25">
      <c r="A9" s="9">
        <v>46029</v>
      </c>
      <c r="B9" s="10">
        <f>SUMIFS(Master!$F$3:$F$532,Master!$C$3:$C$532,B$2,Master!$E$3:$E$532,"&gt;="&amp;$A9,Master!$E$3:$E$532,"&lt;"&amp;($A9+1),Master!$H$3:$H$532,"captured")</f>
        <v>0</v>
      </c>
      <c r="C9" s="10">
        <f>SUMIFS(Master!$F$3:$F$532,Master!$C$3:$C$532,C$2,Master!$E$3:$E$532,"&gt;="&amp;$A9,Master!$E$3:$E$532,"&lt;"&amp;($A9+1),Master!$H$3:$H$532,"captured")</f>
        <v>499</v>
      </c>
      <c r="D9" s="10">
        <f>SUMIFS(Master!$F$3:$F$532,Master!$C$3:$C$532,D$2,Master!$E$3:$E$532,"&gt;="&amp;$A9,Master!$E$3:$E$532,"&lt;"&amp;($A9+1),Master!$H$3:$H$532,"captured")</f>
        <v>798</v>
      </c>
      <c r="E9" s="10">
        <f>SUMIFS(Master!$F$3:$F$532,Master!$C$3:$C$532,E$2,Master!$E$3:$E$532,"&gt;="&amp;$A9,Master!$E$3:$E$532,"&lt;"&amp;($A9+1),Master!$H$3:$H$532,"captured")</f>
        <v>0</v>
      </c>
      <c r="F9" s="10">
        <f>SUMIFS(Master!$F$3:$F$532,Master!$C$3:$C$532,F$2,Master!$E$3:$E$532,"&gt;="&amp;$A9,Master!$E$3:$E$532,"&lt;"&amp;($A9+1),Master!$H$3:$H$532,"captured")</f>
        <v>0</v>
      </c>
      <c r="G9" s="10">
        <f>SUMIFS(Master!$F$3:$F$532,Master!$C$3:$C$532,G$2,Master!$E$3:$E$532,"&gt;="&amp;$A9,Master!$E$3:$E$532,"&lt;"&amp;($A9+1),Master!$H$3:$H$532,"captured")</f>
        <v>0</v>
      </c>
      <c r="H9" s="10">
        <f>SUMIFS(Master!$F$3:$F$532,Master!$C$3:$C$532,H$2,Master!$E$3:$E$532,"&gt;="&amp;$A9,Master!$E$3:$E$532,"&lt;"&amp;($A9+1),Master!$H$3:$H$532,"captured")</f>
        <v>0</v>
      </c>
      <c r="I9" s="10">
        <f>SUMIFS(Master!$F$3:$F$532,Master!$C$3:$C$532,I$2,Master!$E$3:$E$532,"&gt;="&amp;$A9,Master!$E$3:$E$532,"&lt;"&amp;($A9+1),Master!$H$3:$H$532,"captured")</f>
        <v>0</v>
      </c>
      <c r="J9" s="10">
        <f>SUMIFS(Master!$F$3:$F$532,Master!$C$3:$C$532,J$2,Master!$E$3:$E$532,"&gt;="&amp;$A9,Master!$E$3:$E$532,"&lt;"&amp;($A9+1),Master!$H$3:$H$532,"captured")</f>
        <v>0</v>
      </c>
      <c r="K9" s="10">
        <f>SUMIFS(Master!$F$3:$F$532,Master!$C$3:$C$532,K$2,Master!$E$3:$E$532,"&gt;="&amp;$A9,Master!$E$3:$E$532,"&lt;"&amp;($A9+1),Master!$H$3:$H$532,"captured")</f>
        <v>0</v>
      </c>
      <c r="L9" s="10">
        <f>SUMIFS(Master!$F$3:$F$532,Master!$C$3:$C$532,L$2,Master!$E$3:$E$532,"&gt;="&amp;$A9,Master!$E$3:$E$532,"&lt;"&amp;($A9+1),Master!$H$3:$H$532,"captured")</f>
        <v>49</v>
      </c>
      <c r="M9" s="10">
        <f>SUMIFS(Master!$F$3:$F$532,Master!$C$3:$C$532,M$2,Master!$E$3:$E$532,"&gt;="&amp;$A9,Master!$E$3:$E$532,"&lt;"&amp;($A9+1),Master!$H$3:$H$532,"captured")</f>
        <v>0</v>
      </c>
      <c r="N9" s="10">
        <f>SUMIFS(Master!$F$3:$F$532,Master!$C$3:$C$532,N$2,Master!$E$3:$E$532,"&gt;="&amp;$A9,Master!$E$3:$E$532,"&lt;"&amp;($A9+1),Master!$H$3:$H$532,"captured")</f>
        <v>0</v>
      </c>
      <c r="O9" s="10">
        <f>SUMIFS(Master!$F$3:$F$532,Master!$C$3:$C$532,O$2,Master!$E$3:$E$532,"&gt;="&amp;$A9,Master!$E$3:$E$532,"&lt;"&amp;($A9+1),Master!$H$3:$H$532,"captured")</f>
        <v>49</v>
      </c>
      <c r="P9" s="10">
        <f>SUMIFS(Master!$F$3:$F$532,Master!$C$3:$C$532,P$2,Master!$E$3:$E$532,"&gt;="&amp;$A9,Master!$E$3:$E$532,"&lt;"&amp;($A9+1),Master!$H$3:$H$532,"captured")</f>
        <v>49</v>
      </c>
      <c r="Q9" s="10">
        <f>SUMIFS(Master!$F$3:$F$532,Master!$C$3:$C$532,Q$2,Master!$E$3:$E$532,"&gt;="&amp;$A9,Master!$E$3:$E$532,"&lt;"&amp;($A9+1),Master!$H$3:$H$532,"captured")</f>
        <v>0</v>
      </c>
      <c r="R9" s="10">
        <f>SUMIFS(Master!$F$3:$F$532,Master!$C$3:$C$532,R$2,Master!$E$3:$E$532,"&gt;="&amp;$A9,Master!$E$3:$E$532,"&lt;"&amp;($A9+1),Master!$H$3:$H$532,"captured")</f>
        <v>0</v>
      </c>
      <c r="S9" s="10">
        <f>SUMIFS(Master!$F$3:$F$532,Master!$C$3:$C$532,S$2,Master!$E$3:$E$532,"&gt;="&amp;$A9,Master!$E$3:$E$532,"&lt;"&amp;($A9+1),Master!$H$3:$H$532,"captured")</f>
        <v>0</v>
      </c>
      <c r="T9" s="10">
        <f>SUMIFS(Master!$F$3:$F$532,Master!$C$3:$C$532,T$2,Master!$E$3:$E$532,"&gt;="&amp;$A9,Master!$E$3:$E$532,"&lt;"&amp;($A9+1),Master!$H$3:$H$532,"captured")</f>
        <v>0</v>
      </c>
      <c r="U9" s="10">
        <f>SUMIFS(Master!$F$3:$F$532,Master!$C$3:$C$532,U$2,Master!$E$3:$E$532,"&gt;="&amp;$A9,Master!$E$3:$E$532,"&lt;"&amp;($A9+1),Master!$H$3:$H$532,"captured")</f>
        <v>0</v>
      </c>
      <c r="V9" s="10">
        <f>SUMIFS(Master!$F$3:$F$532,Master!$C$3:$C$532,V$2,Master!$E$3:$E$532,"&gt;="&amp;$A9,Master!$E$3:$E$532,"&lt;"&amp;($A9+1),Master!$H$3:$H$532,"captured")</f>
        <v>0</v>
      </c>
      <c r="W9" s="10">
        <f>SUMIFS(Master!$F$3:$F$532,Master!$C$3:$C$532,W$2,Master!$E$3:$E$532,"&gt;="&amp;$A9,Master!$E$3:$E$532,"&lt;"&amp;($A9+1),Master!$H$3:$H$532,"captured")</f>
        <v>499</v>
      </c>
      <c r="X9" s="10">
        <f>SUMIFS(Master!$F$3:$F$532,Master!$C$3:$C$532,X$2,Master!$E$3:$E$532,"&gt;="&amp;$A9,Master!$E$3:$E$532,"&lt;"&amp;($A9+1),Master!$H$3:$H$532,"captured")</f>
        <v>0</v>
      </c>
      <c r="Y9" s="10">
        <f>SUMIFS(Master!$F$3:$F$532,Master!$C$3:$C$532,Y$2,Master!$E$3:$E$532,"&gt;="&amp;$A9,Master!$E$3:$E$532,"&lt;"&amp;($A9+1),Master!$H$3:$H$532,"captured")</f>
        <v>0</v>
      </c>
      <c r="Z9" s="10">
        <f>SUMIFS(Master!$F$3:$F$532,Master!$C$3:$C$532,Z$2,Master!$E$3:$E$532,"&gt;="&amp;$A9,Master!$E$3:$E$532,"&lt;"&amp;($A9+1),Master!$H$3:$H$532,"captured")</f>
        <v>0</v>
      </c>
      <c r="AA9" s="10">
        <f>SUMIFS(Master!$F$3:$F$532,Master!$C$3:$C$532,AA$2,Master!$E$3:$E$532,"&gt;="&amp;$A9,Master!$E$3:$E$532,"&lt;"&amp;($A9+1),Master!$H$3:$H$532,"captured")</f>
        <v>0</v>
      </c>
      <c r="AB9" s="10">
        <f>SUMIFS(Master!$F$3:$F$532,Master!$C$3:$C$532,AB$2,Master!$E$3:$E$532,"&gt;="&amp;$A9,Master!$E$3:$E$532,"&lt;"&amp;($A9+1),Master!$H$3:$H$532,"captured")</f>
        <v>0</v>
      </c>
      <c r="AC9" s="10">
        <f>SUMIFS(Master!$F$3:$F$532,Master!$C$3:$C$532,AC$2,Master!$E$3:$E$532,"&gt;="&amp;$A9,Master!$E$3:$E$532,"&lt;"&amp;($A9+1),Master!$H$3:$H$532,"captured")</f>
        <v>0</v>
      </c>
      <c r="AD9" s="10">
        <f>SUMIFS(Master!$F$3:$F$532,Master!$C$3:$C$532,AD$2,Master!$E$3:$E$532,"&gt;="&amp;$A9,Master!$E$3:$E$532,"&lt;"&amp;($A9+1),Master!$H$3:$H$532,"captured")</f>
        <v>0</v>
      </c>
      <c r="AE9" s="10">
        <f>SUMIFS(Master!$F$3:$F$532,Master!$C$3:$C$532,AE$2,Master!$E$3:$E$532,"&gt;="&amp;$A9,Master!$E$3:$E$532,"&lt;"&amp;($A9+1),Master!$H$3:$H$532,"captured")</f>
        <v>0</v>
      </c>
      <c r="AF9" s="10">
        <f>SUMIFS(Master!$F$3:$F$532,Master!$C$3:$C$532,AF$2,Master!$E$3:$E$532,"&gt;="&amp;$A9,Master!$E$3:$E$532,"&lt;"&amp;($A9+1),Master!$H$3:$H$532,"captured")</f>
        <v>0</v>
      </c>
      <c r="AG9" s="10">
        <f>SUMIFS(Master!$F$3:$F$532,Master!$C$3:$C$532,AG$2,Master!$E$3:$E$532,"&gt;="&amp;$A9,Master!$E$3:$E$532,"&lt;"&amp;($A9+1),Master!$H$3:$H$532,"captured")</f>
        <v>0</v>
      </c>
      <c r="AH9" s="10">
        <f>SUMIFS(Master!$F$3:$F$532,Master!$C$3:$C$532,AH$2,Master!$E$3:$E$532,"&gt;="&amp;$A9,Master!$E$3:$E$532,"&lt;"&amp;($A9+1),Master!$H$3:$H$532,"captured")</f>
        <v>0</v>
      </c>
      <c r="AI9" s="10">
        <f>SUMIFS(Master!$F$3:$F$532,Master!$C$3:$C$532,AI$2,Master!$E$3:$E$532,"&gt;="&amp;$A9,Master!$E$3:$E$532,"&lt;"&amp;($A9+1),Master!$H$3:$H$532,"captured")</f>
        <v>0</v>
      </c>
      <c r="AJ9" s="10">
        <f>SUMIFS(Master!$F$3:$F$532,Master!$C$3:$C$532,AJ$2,Master!$E$3:$E$532,"&gt;="&amp;$A9,Master!$E$3:$E$532,"&lt;"&amp;($A9+1),Master!$H$3:$H$532,"captured")</f>
        <v>0</v>
      </c>
      <c r="AK9" s="10">
        <f>SUMIFS(Master!$F$3:$F$532,Master!$C$3:$C$532,AK$2,Master!$E$3:$E$532,"&gt;="&amp;$A9,Master!$E$3:$E$532,"&lt;"&amp;($A9+1),Master!$H$3:$H$532,"captured")</f>
        <v>0</v>
      </c>
      <c r="AL9" s="10">
        <f>SUMIFS(Master!$F$3:$F$532,Master!$C$3:$C$532,AL$2,Master!$E$3:$E$532,"&gt;="&amp;$A9,Master!$E$3:$E$532,"&lt;"&amp;($A9+1),Master!$H$3:$H$532,"captured")</f>
        <v>0</v>
      </c>
      <c r="AM9" s="10">
        <f>SUMIFS(Master!$F$3:$F$532,Master!$C$3:$C$532,AM$2,Master!$E$3:$E$532,"&gt;="&amp;$A9,Master!$E$3:$E$532,"&lt;"&amp;($A9+1),Master!$H$3:$H$532,"captured")</f>
        <v>0</v>
      </c>
      <c r="AN9" s="10">
        <f>SUMIFS(Master!$F$3:$F$532,Master!$C$3:$C$532,AN$2,Master!$E$3:$E$532,"&gt;="&amp;$A9,Master!$E$3:$E$532,"&lt;"&amp;($A9+1),Master!$H$3:$H$532,"captured")</f>
        <v>0</v>
      </c>
      <c r="AO9" s="10">
        <f>SUMIFS(Master!$F$3:$F$532,Master!$C$3:$C$532,AO$2,Master!$E$3:$E$532,"&gt;="&amp;$A9,Master!$E$3:$E$532,"&lt;"&amp;($A9+1),Master!$H$3:$H$532,"captured")</f>
        <v>0</v>
      </c>
    </row>
    <row r="10" spans="1:41" x14ac:dyDescent="0.25">
      <c r="A10" s="9">
        <v>46030</v>
      </c>
      <c r="B10" s="10">
        <f>SUMIFS(Master!$F$3:$F$532,Master!$C$3:$C$532,B$2,Master!$E$3:$E$532,"&gt;="&amp;$A10,Master!$E$3:$E$532,"&lt;"&amp;($A10+1),Master!$H$3:$H$532,"captured")</f>
        <v>0</v>
      </c>
      <c r="C10" s="10">
        <f>SUMIFS(Master!$F$3:$F$532,Master!$C$3:$C$532,C$2,Master!$E$3:$E$532,"&gt;="&amp;$A10,Master!$E$3:$E$532,"&lt;"&amp;($A10+1),Master!$H$3:$H$532,"captured")</f>
        <v>299</v>
      </c>
      <c r="D10" s="10">
        <f>SUMIFS(Master!$F$3:$F$532,Master!$C$3:$C$532,D$2,Master!$E$3:$E$532,"&gt;="&amp;$A10,Master!$E$3:$E$532,"&lt;"&amp;($A10+1),Master!$H$3:$H$532,"captured")</f>
        <v>149</v>
      </c>
      <c r="E10" s="10">
        <f>SUMIFS(Master!$F$3:$F$532,Master!$C$3:$C$532,E$2,Master!$E$3:$E$532,"&gt;="&amp;$A10,Master!$E$3:$E$532,"&lt;"&amp;($A10+1),Master!$H$3:$H$532,"captured")</f>
        <v>0</v>
      </c>
      <c r="F10" s="10">
        <f>SUMIFS(Master!$F$3:$F$532,Master!$C$3:$C$532,F$2,Master!$E$3:$E$532,"&gt;="&amp;$A10,Master!$E$3:$E$532,"&lt;"&amp;($A10+1),Master!$H$3:$H$532,"captured")</f>
        <v>0</v>
      </c>
      <c r="G10" s="10">
        <f>SUMIFS(Master!$F$3:$F$532,Master!$C$3:$C$532,G$2,Master!$E$3:$E$532,"&gt;="&amp;$A10,Master!$E$3:$E$532,"&lt;"&amp;($A10+1),Master!$H$3:$H$532,"captured")</f>
        <v>149</v>
      </c>
      <c r="H10" s="10">
        <f>SUMIFS(Master!$F$3:$F$532,Master!$C$3:$C$532,H$2,Master!$E$3:$E$532,"&gt;="&amp;$A10,Master!$E$3:$E$532,"&lt;"&amp;($A10+1),Master!$H$3:$H$532,"captured")</f>
        <v>299</v>
      </c>
      <c r="I10" s="10">
        <f>SUMIFS(Master!$F$3:$F$532,Master!$C$3:$C$532,I$2,Master!$E$3:$E$532,"&gt;="&amp;$A10,Master!$E$3:$E$532,"&lt;"&amp;($A10+1),Master!$H$3:$H$532,"captured")</f>
        <v>99</v>
      </c>
      <c r="J10" s="10">
        <f>SUMIFS(Master!$F$3:$F$532,Master!$C$3:$C$532,J$2,Master!$E$3:$E$532,"&gt;="&amp;$A10,Master!$E$3:$E$532,"&lt;"&amp;($A10+1),Master!$H$3:$H$532,"captured")</f>
        <v>0</v>
      </c>
      <c r="K10" s="10">
        <f>SUMIFS(Master!$F$3:$F$532,Master!$C$3:$C$532,K$2,Master!$E$3:$E$532,"&gt;="&amp;$A10,Master!$E$3:$E$532,"&lt;"&amp;($A10+1),Master!$H$3:$H$532,"captured")</f>
        <v>799</v>
      </c>
      <c r="L10" s="10">
        <f>SUMIFS(Master!$F$3:$F$532,Master!$C$3:$C$532,L$2,Master!$E$3:$E$532,"&gt;="&amp;$A10,Master!$E$3:$E$532,"&lt;"&amp;($A10+1),Master!$H$3:$H$532,"captured")</f>
        <v>0</v>
      </c>
      <c r="M10" s="10">
        <f>SUMIFS(Master!$F$3:$F$532,Master!$C$3:$C$532,M$2,Master!$E$3:$E$532,"&gt;="&amp;$A10,Master!$E$3:$E$532,"&lt;"&amp;($A10+1),Master!$H$3:$H$532,"captured")</f>
        <v>0</v>
      </c>
      <c r="N10" s="10">
        <f>SUMIFS(Master!$F$3:$F$532,Master!$C$3:$C$532,N$2,Master!$E$3:$E$532,"&gt;="&amp;$A10,Master!$E$3:$E$532,"&lt;"&amp;($A10+1),Master!$H$3:$H$532,"captured")</f>
        <v>149</v>
      </c>
      <c r="O10" s="10">
        <f>SUMIFS(Master!$F$3:$F$532,Master!$C$3:$C$532,O$2,Master!$E$3:$E$532,"&gt;="&amp;$A10,Master!$E$3:$E$532,"&lt;"&amp;($A10+1),Master!$H$3:$H$532,"captured")</f>
        <v>799</v>
      </c>
      <c r="P10" s="10">
        <f>SUMIFS(Master!$F$3:$F$532,Master!$C$3:$C$532,P$2,Master!$E$3:$E$532,"&gt;="&amp;$A10,Master!$E$3:$E$532,"&lt;"&amp;($A10+1),Master!$H$3:$H$532,"captured")</f>
        <v>0</v>
      </c>
      <c r="Q10" s="10">
        <f>SUMIFS(Master!$F$3:$F$532,Master!$C$3:$C$532,Q$2,Master!$E$3:$E$532,"&gt;="&amp;$A10,Master!$E$3:$E$532,"&lt;"&amp;($A10+1),Master!$H$3:$H$532,"captured")</f>
        <v>0</v>
      </c>
      <c r="R10" s="10">
        <f>SUMIFS(Master!$F$3:$F$532,Master!$C$3:$C$532,R$2,Master!$E$3:$E$532,"&gt;="&amp;$A10,Master!$E$3:$E$532,"&lt;"&amp;($A10+1),Master!$H$3:$H$532,"captured")</f>
        <v>0</v>
      </c>
      <c r="S10" s="10">
        <f>SUMIFS(Master!$F$3:$F$532,Master!$C$3:$C$532,S$2,Master!$E$3:$E$532,"&gt;="&amp;$A10,Master!$E$3:$E$532,"&lt;"&amp;($A10+1),Master!$H$3:$H$532,"captured")</f>
        <v>0</v>
      </c>
      <c r="T10" s="10">
        <f>SUMIFS(Master!$F$3:$F$532,Master!$C$3:$C$532,T$2,Master!$E$3:$E$532,"&gt;="&amp;$A10,Master!$E$3:$E$532,"&lt;"&amp;($A10+1),Master!$H$3:$H$532,"captured")</f>
        <v>0</v>
      </c>
      <c r="U10" s="10">
        <f>SUMIFS(Master!$F$3:$F$532,Master!$C$3:$C$532,U$2,Master!$E$3:$E$532,"&gt;="&amp;$A10,Master!$E$3:$E$532,"&lt;"&amp;($A10+1),Master!$H$3:$H$532,"captured")</f>
        <v>0</v>
      </c>
      <c r="V10" s="10">
        <f>SUMIFS(Master!$F$3:$F$532,Master!$C$3:$C$532,V$2,Master!$E$3:$E$532,"&gt;="&amp;$A10,Master!$E$3:$E$532,"&lt;"&amp;($A10+1),Master!$H$3:$H$532,"captured")</f>
        <v>0</v>
      </c>
      <c r="W10" s="10">
        <f>SUMIFS(Master!$F$3:$F$532,Master!$C$3:$C$532,W$2,Master!$E$3:$E$532,"&gt;="&amp;$A10,Master!$E$3:$E$532,"&lt;"&amp;($A10+1),Master!$H$3:$H$532,"captured")</f>
        <v>0</v>
      </c>
      <c r="X10" s="10">
        <f>SUMIFS(Master!$F$3:$F$532,Master!$C$3:$C$532,X$2,Master!$E$3:$E$532,"&gt;="&amp;$A10,Master!$E$3:$E$532,"&lt;"&amp;($A10+1),Master!$H$3:$H$532,"captured")</f>
        <v>99</v>
      </c>
      <c r="Y10" s="10">
        <f>SUMIFS(Master!$F$3:$F$532,Master!$C$3:$C$532,Y$2,Master!$E$3:$E$532,"&gt;="&amp;$A10,Master!$E$3:$E$532,"&lt;"&amp;($A10+1),Master!$H$3:$H$532,"captured")</f>
        <v>0</v>
      </c>
      <c r="Z10" s="10">
        <f>SUMIFS(Master!$F$3:$F$532,Master!$C$3:$C$532,Z$2,Master!$E$3:$E$532,"&gt;="&amp;$A10,Master!$E$3:$E$532,"&lt;"&amp;($A10+1),Master!$H$3:$H$532,"captured")</f>
        <v>0</v>
      </c>
      <c r="AA10" s="10">
        <f>SUMIFS(Master!$F$3:$F$532,Master!$C$3:$C$532,AA$2,Master!$E$3:$E$532,"&gt;="&amp;$A10,Master!$E$3:$E$532,"&lt;"&amp;($A10+1),Master!$H$3:$H$532,"captured")</f>
        <v>0</v>
      </c>
      <c r="AB10" s="10">
        <f>SUMIFS(Master!$F$3:$F$532,Master!$C$3:$C$532,AB$2,Master!$E$3:$E$532,"&gt;="&amp;$A10,Master!$E$3:$E$532,"&lt;"&amp;($A10+1),Master!$H$3:$H$532,"captured")</f>
        <v>0</v>
      </c>
      <c r="AC10" s="10">
        <f>SUMIFS(Master!$F$3:$F$532,Master!$C$3:$C$532,AC$2,Master!$E$3:$E$532,"&gt;="&amp;$A10,Master!$E$3:$E$532,"&lt;"&amp;($A10+1),Master!$H$3:$H$532,"captured")</f>
        <v>0</v>
      </c>
      <c r="AD10" s="10">
        <f>SUMIFS(Master!$F$3:$F$532,Master!$C$3:$C$532,AD$2,Master!$E$3:$E$532,"&gt;="&amp;$A10,Master!$E$3:$E$532,"&lt;"&amp;($A10+1),Master!$H$3:$H$532,"captured")</f>
        <v>0</v>
      </c>
      <c r="AE10" s="10">
        <f>SUMIFS(Master!$F$3:$F$532,Master!$C$3:$C$532,AE$2,Master!$E$3:$E$532,"&gt;="&amp;$A10,Master!$E$3:$E$532,"&lt;"&amp;($A10+1),Master!$H$3:$H$532,"captured")</f>
        <v>1197</v>
      </c>
      <c r="AF10" s="10">
        <f>SUMIFS(Master!$F$3:$F$532,Master!$C$3:$C$532,AF$2,Master!$E$3:$E$532,"&gt;="&amp;$A10,Master!$E$3:$E$532,"&lt;"&amp;($A10+1),Master!$H$3:$H$532,"captured")</f>
        <v>0</v>
      </c>
      <c r="AG10" s="10">
        <f>SUMIFS(Master!$F$3:$F$532,Master!$C$3:$C$532,AG$2,Master!$E$3:$E$532,"&gt;="&amp;$A10,Master!$E$3:$E$532,"&lt;"&amp;($A10+1),Master!$H$3:$H$532,"captured")</f>
        <v>0</v>
      </c>
      <c r="AH10" s="10">
        <f>SUMIFS(Master!$F$3:$F$532,Master!$C$3:$C$532,AH$2,Master!$E$3:$E$532,"&gt;="&amp;$A10,Master!$E$3:$E$532,"&lt;"&amp;($A10+1),Master!$H$3:$H$532,"captured")</f>
        <v>0</v>
      </c>
      <c r="AI10" s="10">
        <f>SUMIFS(Master!$F$3:$F$532,Master!$C$3:$C$532,AI$2,Master!$E$3:$E$532,"&gt;="&amp;$A10,Master!$E$3:$E$532,"&lt;"&amp;($A10+1),Master!$H$3:$H$532,"captured")</f>
        <v>0</v>
      </c>
      <c r="AJ10" s="10">
        <f>SUMIFS(Master!$F$3:$F$532,Master!$C$3:$C$532,AJ$2,Master!$E$3:$E$532,"&gt;="&amp;$A10,Master!$E$3:$E$532,"&lt;"&amp;($A10+1),Master!$H$3:$H$532,"captured")</f>
        <v>0</v>
      </c>
      <c r="AK10" s="10">
        <f>SUMIFS(Master!$F$3:$F$532,Master!$C$3:$C$532,AK$2,Master!$E$3:$E$532,"&gt;="&amp;$A10,Master!$E$3:$E$532,"&lt;"&amp;($A10+1),Master!$H$3:$H$532,"captured")</f>
        <v>0</v>
      </c>
      <c r="AL10" s="10">
        <f>SUMIFS(Master!$F$3:$F$532,Master!$C$3:$C$532,AL$2,Master!$E$3:$E$532,"&gt;="&amp;$A10,Master!$E$3:$E$532,"&lt;"&amp;($A10+1),Master!$H$3:$H$532,"captured")</f>
        <v>0</v>
      </c>
      <c r="AM10" s="10">
        <f>SUMIFS(Master!$F$3:$F$532,Master!$C$3:$C$532,AM$2,Master!$E$3:$E$532,"&gt;="&amp;$A10,Master!$E$3:$E$532,"&lt;"&amp;($A10+1),Master!$H$3:$H$532,"captured")</f>
        <v>0</v>
      </c>
      <c r="AN10" s="10">
        <f>SUMIFS(Master!$F$3:$F$532,Master!$C$3:$C$532,AN$2,Master!$E$3:$E$532,"&gt;="&amp;$A10,Master!$E$3:$E$532,"&lt;"&amp;($A10+1),Master!$H$3:$H$532,"captured")</f>
        <v>0</v>
      </c>
      <c r="AO10" s="10">
        <f>SUMIFS(Master!$F$3:$F$532,Master!$C$3:$C$532,AO$2,Master!$E$3:$E$532,"&gt;="&amp;$A10,Master!$E$3:$E$532,"&lt;"&amp;($A10+1),Master!$H$3:$H$532,"captured")</f>
        <v>0</v>
      </c>
    </row>
    <row r="11" spans="1:41" x14ac:dyDescent="0.25">
      <c r="A11" s="9">
        <v>46031</v>
      </c>
      <c r="B11" s="10">
        <f>SUMIFS(Master!$F$3:$F$532,Master!$C$3:$C$532,B$2,Master!$E$3:$E$532,"&gt;="&amp;$A11,Master!$E$3:$E$532,"&lt;"&amp;($A11+1),Master!$H$3:$H$532,"captured")</f>
        <v>5048</v>
      </c>
      <c r="C11" s="10">
        <f>SUMIFS(Master!$F$3:$F$532,Master!$C$3:$C$532,C$2,Master!$E$3:$E$532,"&gt;="&amp;$A11,Master!$E$3:$E$532,"&lt;"&amp;($A11+1),Master!$H$3:$H$532,"captured")</f>
        <v>0</v>
      </c>
      <c r="D11" s="10">
        <f>SUMIFS(Master!$F$3:$F$532,Master!$C$3:$C$532,D$2,Master!$E$3:$E$532,"&gt;="&amp;$A11,Master!$E$3:$E$532,"&lt;"&amp;($A11+1),Master!$H$3:$H$532,"captured")</f>
        <v>0</v>
      </c>
      <c r="E11" s="10">
        <f>SUMIFS(Master!$F$3:$F$532,Master!$C$3:$C$532,E$2,Master!$E$3:$E$532,"&gt;="&amp;$A11,Master!$E$3:$E$532,"&lt;"&amp;($A11+1),Master!$H$3:$H$532,"captured")</f>
        <v>0</v>
      </c>
      <c r="F11" s="10">
        <f>SUMIFS(Master!$F$3:$F$532,Master!$C$3:$C$532,F$2,Master!$E$3:$E$532,"&gt;="&amp;$A11,Master!$E$3:$E$532,"&lt;"&amp;($A11+1),Master!$H$3:$H$532,"captured")</f>
        <v>448</v>
      </c>
      <c r="G11" s="10">
        <f>SUMIFS(Master!$F$3:$F$532,Master!$C$3:$C$532,G$2,Master!$E$3:$E$532,"&gt;="&amp;$A11,Master!$E$3:$E$532,"&lt;"&amp;($A11+1),Master!$H$3:$H$532,"captured")</f>
        <v>99</v>
      </c>
      <c r="H11" s="10">
        <f>SUMIFS(Master!$F$3:$F$532,Master!$C$3:$C$532,H$2,Master!$E$3:$E$532,"&gt;="&amp;$A11,Master!$E$3:$E$532,"&lt;"&amp;($A11+1),Master!$H$3:$H$532,"captured")</f>
        <v>0</v>
      </c>
      <c r="I11" s="10">
        <f>SUMIFS(Master!$F$3:$F$532,Master!$C$3:$C$532,I$2,Master!$E$3:$E$532,"&gt;="&amp;$A11,Master!$E$3:$E$532,"&lt;"&amp;($A11+1),Master!$H$3:$H$532,"captured")</f>
        <v>0</v>
      </c>
      <c r="J11" s="10">
        <f>SUMIFS(Master!$F$3:$F$532,Master!$C$3:$C$532,J$2,Master!$E$3:$E$532,"&gt;="&amp;$A11,Master!$E$3:$E$532,"&lt;"&amp;($A11+1),Master!$H$3:$H$532,"captured")</f>
        <v>99</v>
      </c>
      <c r="K11" s="10">
        <f>SUMIFS(Master!$F$3:$F$532,Master!$C$3:$C$532,K$2,Master!$E$3:$E$532,"&gt;="&amp;$A11,Master!$E$3:$E$532,"&lt;"&amp;($A11+1),Master!$H$3:$H$532,"captured")</f>
        <v>0</v>
      </c>
      <c r="L11" s="10">
        <f>SUMIFS(Master!$F$3:$F$532,Master!$C$3:$C$532,L$2,Master!$E$3:$E$532,"&gt;="&amp;$A11,Master!$E$3:$E$532,"&lt;"&amp;($A11+1),Master!$H$3:$H$532,"captured")</f>
        <v>0</v>
      </c>
      <c r="M11" s="10">
        <f>SUMIFS(Master!$F$3:$F$532,Master!$C$3:$C$532,M$2,Master!$E$3:$E$532,"&gt;="&amp;$A11,Master!$E$3:$E$532,"&lt;"&amp;($A11+1),Master!$H$3:$H$532,"captured")</f>
        <v>799</v>
      </c>
      <c r="N11" s="10">
        <f>SUMIFS(Master!$F$3:$F$532,Master!$C$3:$C$532,N$2,Master!$E$3:$E$532,"&gt;="&amp;$A11,Master!$E$3:$E$532,"&lt;"&amp;($A11+1),Master!$H$3:$H$532,"captured")</f>
        <v>198</v>
      </c>
      <c r="O11" s="10">
        <f>SUMIFS(Master!$F$3:$F$532,Master!$C$3:$C$532,O$2,Master!$E$3:$E$532,"&gt;="&amp;$A11,Master!$E$3:$E$532,"&lt;"&amp;($A11+1),Master!$H$3:$H$532,"captured")</f>
        <v>0</v>
      </c>
      <c r="P11" s="10">
        <f>SUMIFS(Master!$F$3:$F$532,Master!$C$3:$C$532,P$2,Master!$E$3:$E$532,"&gt;="&amp;$A11,Master!$E$3:$E$532,"&lt;"&amp;($A11+1),Master!$H$3:$H$532,"captured")</f>
        <v>0</v>
      </c>
      <c r="Q11" s="10">
        <f>SUMIFS(Master!$F$3:$F$532,Master!$C$3:$C$532,Q$2,Master!$E$3:$E$532,"&gt;="&amp;$A11,Master!$E$3:$E$532,"&lt;"&amp;($A11+1),Master!$H$3:$H$532,"captured")</f>
        <v>0</v>
      </c>
      <c r="R11" s="10">
        <f>SUMIFS(Master!$F$3:$F$532,Master!$C$3:$C$532,R$2,Master!$E$3:$E$532,"&gt;="&amp;$A11,Master!$E$3:$E$532,"&lt;"&amp;($A11+1),Master!$H$3:$H$532,"captured")</f>
        <v>0</v>
      </c>
      <c r="S11" s="10">
        <f>SUMIFS(Master!$F$3:$F$532,Master!$C$3:$C$532,S$2,Master!$E$3:$E$532,"&gt;="&amp;$A11,Master!$E$3:$E$532,"&lt;"&amp;($A11+1),Master!$H$3:$H$532,"captured")</f>
        <v>0</v>
      </c>
      <c r="T11" s="10">
        <f>SUMIFS(Master!$F$3:$F$532,Master!$C$3:$C$532,T$2,Master!$E$3:$E$532,"&gt;="&amp;$A11,Master!$E$3:$E$532,"&lt;"&amp;($A11+1),Master!$H$3:$H$532,"captured")</f>
        <v>99</v>
      </c>
      <c r="U11" s="10">
        <f>SUMIFS(Master!$F$3:$F$532,Master!$C$3:$C$532,U$2,Master!$E$3:$E$532,"&gt;="&amp;$A11,Master!$E$3:$E$532,"&lt;"&amp;($A11+1),Master!$H$3:$H$532,"captured")</f>
        <v>0</v>
      </c>
      <c r="V11" s="10">
        <f>SUMIFS(Master!$F$3:$F$532,Master!$C$3:$C$532,V$2,Master!$E$3:$E$532,"&gt;="&amp;$A11,Master!$E$3:$E$532,"&lt;"&amp;($A11+1),Master!$H$3:$H$532,"captured")</f>
        <v>499</v>
      </c>
      <c r="W11" s="10">
        <f>SUMIFS(Master!$F$3:$F$532,Master!$C$3:$C$532,W$2,Master!$E$3:$E$532,"&gt;="&amp;$A11,Master!$E$3:$E$532,"&lt;"&amp;($A11+1),Master!$H$3:$H$532,"captured")</f>
        <v>0</v>
      </c>
      <c r="X11" s="10">
        <f>SUMIFS(Master!$F$3:$F$532,Master!$C$3:$C$532,X$2,Master!$E$3:$E$532,"&gt;="&amp;$A11,Master!$E$3:$E$532,"&lt;"&amp;($A11+1),Master!$H$3:$H$532,"captured")</f>
        <v>0</v>
      </c>
      <c r="Y11" s="10">
        <f>SUMIFS(Master!$F$3:$F$532,Master!$C$3:$C$532,Y$2,Master!$E$3:$E$532,"&gt;="&amp;$A11,Master!$E$3:$E$532,"&lt;"&amp;($A11+1),Master!$H$3:$H$532,"captured")</f>
        <v>0</v>
      </c>
      <c r="Z11" s="10">
        <f>SUMIFS(Master!$F$3:$F$532,Master!$C$3:$C$532,Z$2,Master!$E$3:$E$532,"&gt;="&amp;$A11,Master!$E$3:$E$532,"&lt;"&amp;($A11+1),Master!$H$3:$H$532,"captured")</f>
        <v>0</v>
      </c>
      <c r="AA11" s="10">
        <f>SUMIFS(Master!$F$3:$F$532,Master!$C$3:$C$532,AA$2,Master!$E$3:$E$532,"&gt;="&amp;$A11,Master!$E$3:$E$532,"&lt;"&amp;($A11+1),Master!$H$3:$H$532,"captured")</f>
        <v>0</v>
      </c>
      <c r="AB11" s="10">
        <f>SUMIFS(Master!$F$3:$F$532,Master!$C$3:$C$532,AB$2,Master!$E$3:$E$532,"&gt;="&amp;$A11,Master!$E$3:$E$532,"&lt;"&amp;($A11+1),Master!$H$3:$H$532,"captured")</f>
        <v>0</v>
      </c>
      <c r="AC11" s="10">
        <f>SUMIFS(Master!$F$3:$F$532,Master!$C$3:$C$532,AC$2,Master!$E$3:$E$532,"&gt;="&amp;$A11,Master!$E$3:$E$532,"&lt;"&amp;($A11+1),Master!$H$3:$H$532,"captured")</f>
        <v>0</v>
      </c>
      <c r="AD11" s="10">
        <f>SUMIFS(Master!$F$3:$F$532,Master!$C$3:$C$532,AD$2,Master!$E$3:$E$532,"&gt;="&amp;$A11,Master!$E$3:$E$532,"&lt;"&amp;($A11+1),Master!$H$3:$H$532,"captured")</f>
        <v>499</v>
      </c>
      <c r="AE11" s="10">
        <f>SUMIFS(Master!$F$3:$F$532,Master!$C$3:$C$532,AE$2,Master!$E$3:$E$532,"&gt;="&amp;$A11,Master!$E$3:$E$532,"&lt;"&amp;($A11+1),Master!$H$3:$H$532,"captured")</f>
        <v>99</v>
      </c>
      <c r="AF11" s="10">
        <f>SUMIFS(Master!$F$3:$F$532,Master!$C$3:$C$532,AF$2,Master!$E$3:$E$532,"&gt;="&amp;$A11,Master!$E$3:$E$532,"&lt;"&amp;($A11+1),Master!$H$3:$H$532,"captured")</f>
        <v>0</v>
      </c>
      <c r="AG11" s="10">
        <f>SUMIFS(Master!$F$3:$F$532,Master!$C$3:$C$532,AG$2,Master!$E$3:$E$532,"&gt;="&amp;$A11,Master!$E$3:$E$532,"&lt;"&amp;($A11+1),Master!$H$3:$H$532,"captured")</f>
        <v>0</v>
      </c>
      <c r="AH11" s="10">
        <f>SUMIFS(Master!$F$3:$F$532,Master!$C$3:$C$532,AH$2,Master!$E$3:$E$532,"&gt;="&amp;$A11,Master!$E$3:$E$532,"&lt;"&amp;($A11+1),Master!$H$3:$H$532,"captured")</f>
        <v>0</v>
      </c>
      <c r="AI11" s="10">
        <f>SUMIFS(Master!$F$3:$F$532,Master!$C$3:$C$532,AI$2,Master!$E$3:$E$532,"&gt;="&amp;$A11,Master!$E$3:$E$532,"&lt;"&amp;($A11+1),Master!$H$3:$H$532,"captured")</f>
        <v>299</v>
      </c>
      <c r="AJ11" s="10">
        <f>SUMIFS(Master!$F$3:$F$532,Master!$C$3:$C$532,AJ$2,Master!$E$3:$E$532,"&gt;="&amp;$A11,Master!$E$3:$E$532,"&lt;"&amp;($A11+1),Master!$H$3:$H$532,"captured")</f>
        <v>0</v>
      </c>
      <c r="AK11" s="10">
        <f>SUMIFS(Master!$F$3:$F$532,Master!$C$3:$C$532,AK$2,Master!$E$3:$E$532,"&gt;="&amp;$A11,Master!$E$3:$E$532,"&lt;"&amp;($A11+1),Master!$H$3:$H$532,"captured")</f>
        <v>0</v>
      </c>
      <c r="AL11" s="10">
        <f>SUMIFS(Master!$F$3:$F$532,Master!$C$3:$C$532,AL$2,Master!$E$3:$E$532,"&gt;="&amp;$A11,Master!$E$3:$E$532,"&lt;"&amp;($A11+1),Master!$H$3:$H$532,"captured")</f>
        <v>0</v>
      </c>
      <c r="AM11" s="10">
        <f>SUMIFS(Master!$F$3:$F$532,Master!$C$3:$C$532,AM$2,Master!$E$3:$E$532,"&gt;="&amp;$A11,Master!$E$3:$E$532,"&lt;"&amp;($A11+1),Master!$H$3:$H$532,"captured")</f>
        <v>49</v>
      </c>
      <c r="AN11" s="10">
        <f>SUMIFS(Master!$F$3:$F$532,Master!$C$3:$C$532,AN$2,Master!$E$3:$E$532,"&gt;="&amp;$A11,Master!$E$3:$E$532,"&lt;"&amp;($A11+1),Master!$H$3:$H$532,"captured")</f>
        <v>0</v>
      </c>
      <c r="AO11" s="10">
        <f>SUMIFS(Master!$F$3:$F$532,Master!$C$3:$C$532,AO$2,Master!$E$3:$E$532,"&gt;="&amp;$A11,Master!$E$3:$E$532,"&lt;"&amp;($A11+1),Master!$H$3:$H$532,"captured")</f>
        <v>0</v>
      </c>
    </row>
    <row r="12" spans="1:41" x14ac:dyDescent="0.25">
      <c r="A12" s="9">
        <v>46032</v>
      </c>
      <c r="B12" s="10">
        <f>SUMIFS(Master!$F$3:$F$532,Master!$C$3:$C$532,B$2,Master!$E$3:$E$532,"&gt;="&amp;$A12,Master!$E$3:$E$532,"&lt;"&amp;($A12+1),Master!$H$3:$H$532,"captured")</f>
        <v>0</v>
      </c>
      <c r="C12" s="10">
        <f>SUMIFS(Master!$F$3:$F$532,Master!$C$3:$C$532,C$2,Master!$E$3:$E$532,"&gt;="&amp;$A12,Master!$E$3:$E$532,"&lt;"&amp;($A12+1),Master!$H$3:$H$532,"captured")</f>
        <v>0</v>
      </c>
      <c r="D12" s="10">
        <f>SUMIFS(Master!$F$3:$F$532,Master!$C$3:$C$532,D$2,Master!$E$3:$E$532,"&gt;="&amp;$A12,Master!$E$3:$E$532,"&lt;"&amp;($A12+1),Master!$H$3:$H$532,"captured")</f>
        <v>0</v>
      </c>
      <c r="E12" s="10">
        <f>SUMIFS(Master!$F$3:$F$532,Master!$C$3:$C$532,E$2,Master!$E$3:$E$532,"&gt;="&amp;$A12,Master!$E$3:$E$532,"&lt;"&amp;($A12+1),Master!$H$3:$H$532,"captured")</f>
        <v>0</v>
      </c>
      <c r="F12" s="10">
        <f>SUMIFS(Master!$F$3:$F$532,Master!$C$3:$C$532,F$2,Master!$E$3:$E$532,"&gt;="&amp;$A12,Master!$E$3:$E$532,"&lt;"&amp;($A12+1),Master!$H$3:$H$532,"captured")</f>
        <v>99</v>
      </c>
      <c r="G12" s="10">
        <f>SUMIFS(Master!$F$3:$F$532,Master!$C$3:$C$532,G$2,Master!$E$3:$E$532,"&gt;="&amp;$A12,Master!$E$3:$E$532,"&lt;"&amp;($A12+1),Master!$H$3:$H$532,"captured")</f>
        <v>0</v>
      </c>
      <c r="H12" s="10">
        <f>SUMIFS(Master!$F$3:$F$532,Master!$C$3:$C$532,H$2,Master!$E$3:$E$532,"&gt;="&amp;$A12,Master!$E$3:$E$532,"&lt;"&amp;($A12+1),Master!$H$3:$H$532,"captured")</f>
        <v>499</v>
      </c>
      <c r="I12" s="10">
        <f>SUMIFS(Master!$F$3:$F$532,Master!$C$3:$C$532,I$2,Master!$E$3:$E$532,"&gt;="&amp;$A12,Master!$E$3:$E$532,"&lt;"&amp;($A12+1),Master!$H$3:$H$532,"captured")</f>
        <v>0</v>
      </c>
      <c r="J12" s="10">
        <f>SUMIFS(Master!$F$3:$F$532,Master!$C$3:$C$532,J$2,Master!$E$3:$E$532,"&gt;="&amp;$A12,Master!$E$3:$E$532,"&lt;"&amp;($A12+1),Master!$H$3:$H$532,"captured")</f>
        <v>49</v>
      </c>
      <c r="K12" s="10">
        <f>SUMIFS(Master!$F$3:$F$532,Master!$C$3:$C$532,K$2,Master!$E$3:$E$532,"&gt;="&amp;$A12,Master!$E$3:$E$532,"&lt;"&amp;($A12+1),Master!$H$3:$H$532,"captured")</f>
        <v>0</v>
      </c>
      <c r="L12" s="10">
        <f>SUMIFS(Master!$F$3:$F$532,Master!$C$3:$C$532,L$2,Master!$E$3:$E$532,"&gt;="&amp;$A12,Master!$E$3:$E$532,"&lt;"&amp;($A12+1),Master!$H$3:$H$532,"captured")</f>
        <v>0</v>
      </c>
      <c r="M12" s="10">
        <f>SUMIFS(Master!$F$3:$F$532,Master!$C$3:$C$532,M$2,Master!$E$3:$E$532,"&gt;="&amp;$A12,Master!$E$3:$E$532,"&lt;"&amp;($A12+1),Master!$H$3:$H$532,"captured")</f>
        <v>0</v>
      </c>
      <c r="N12" s="10">
        <f>SUMIFS(Master!$F$3:$F$532,Master!$C$3:$C$532,N$2,Master!$E$3:$E$532,"&gt;="&amp;$A12,Master!$E$3:$E$532,"&lt;"&amp;($A12+1),Master!$H$3:$H$532,"captured")</f>
        <v>0</v>
      </c>
      <c r="O12" s="10">
        <f>SUMIFS(Master!$F$3:$F$532,Master!$C$3:$C$532,O$2,Master!$E$3:$E$532,"&gt;="&amp;$A12,Master!$E$3:$E$532,"&lt;"&amp;($A12+1),Master!$H$3:$H$532,"captured")</f>
        <v>0</v>
      </c>
      <c r="P12" s="10">
        <f>SUMIFS(Master!$F$3:$F$532,Master!$C$3:$C$532,P$2,Master!$E$3:$E$532,"&gt;="&amp;$A12,Master!$E$3:$E$532,"&lt;"&amp;($A12+1),Master!$H$3:$H$532,"captured")</f>
        <v>49</v>
      </c>
      <c r="Q12" s="10">
        <f>SUMIFS(Master!$F$3:$F$532,Master!$C$3:$C$532,Q$2,Master!$E$3:$E$532,"&gt;="&amp;$A12,Master!$E$3:$E$532,"&lt;"&amp;($A12+1),Master!$H$3:$H$532,"captured")</f>
        <v>0</v>
      </c>
      <c r="R12" s="10">
        <f>SUMIFS(Master!$F$3:$F$532,Master!$C$3:$C$532,R$2,Master!$E$3:$E$532,"&gt;="&amp;$A12,Master!$E$3:$E$532,"&lt;"&amp;($A12+1),Master!$H$3:$H$532,"captured")</f>
        <v>0</v>
      </c>
      <c r="S12" s="10">
        <f>SUMIFS(Master!$F$3:$F$532,Master!$C$3:$C$532,S$2,Master!$E$3:$E$532,"&gt;="&amp;$A12,Master!$E$3:$E$532,"&lt;"&amp;($A12+1),Master!$H$3:$H$532,"captured")</f>
        <v>0</v>
      </c>
      <c r="T12" s="10">
        <f>SUMIFS(Master!$F$3:$F$532,Master!$C$3:$C$532,T$2,Master!$E$3:$E$532,"&gt;="&amp;$A12,Master!$E$3:$E$532,"&lt;"&amp;($A12+1),Master!$H$3:$H$532,"captured")</f>
        <v>2999</v>
      </c>
      <c r="U12" s="10">
        <f>SUMIFS(Master!$F$3:$F$532,Master!$C$3:$C$532,U$2,Master!$E$3:$E$532,"&gt;="&amp;$A12,Master!$E$3:$E$532,"&lt;"&amp;($A12+1),Master!$H$3:$H$532,"captured")</f>
        <v>149</v>
      </c>
      <c r="V12" s="10">
        <f>SUMIFS(Master!$F$3:$F$532,Master!$C$3:$C$532,V$2,Master!$E$3:$E$532,"&gt;="&amp;$A12,Master!$E$3:$E$532,"&lt;"&amp;($A12+1),Master!$H$3:$H$532,"captured")</f>
        <v>0</v>
      </c>
      <c r="W12" s="10">
        <f>SUMIFS(Master!$F$3:$F$532,Master!$C$3:$C$532,W$2,Master!$E$3:$E$532,"&gt;="&amp;$A12,Master!$E$3:$E$532,"&lt;"&amp;($A12+1),Master!$H$3:$H$532,"captured")</f>
        <v>499</v>
      </c>
      <c r="X12" s="10">
        <f>SUMIFS(Master!$F$3:$F$532,Master!$C$3:$C$532,X$2,Master!$E$3:$E$532,"&gt;="&amp;$A12,Master!$E$3:$E$532,"&lt;"&amp;($A12+1),Master!$H$3:$H$532,"captured")</f>
        <v>0</v>
      </c>
      <c r="Y12" s="10">
        <f>SUMIFS(Master!$F$3:$F$532,Master!$C$3:$C$532,Y$2,Master!$E$3:$E$532,"&gt;="&amp;$A12,Master!$E$3:$E$532,"&lt;"&amp;($A12+1),Master!$H$3:$H$532,"captured")</f>
        <v>0</v>
      </c>
      <c r="Z12" s="10">
        <f>SUMIFS(Master!$F$3:$F$532,Master!$C$3:$C$532,Z$2,Master!$E$3:$E$532,"&gt;="&amp;$A12,Master!$E$3:$E$532,"&lt;"&amp;($A12+1),Master!$H$3:$H$532,"captured")</f>
        <v>0</v>
      </c>
      <c r="AA12" s="10">
        <f>SUMIFS(Master!$F$3:$F$532,Master!$C$3:$C$532,AA$2,Master!$E$3:$E$532,"&gt;="&amp;$A12,Master!$E$3:$E$532,"&lt;"&amp;($A12+1),Master!$H$3:$H$532,"captured")</f>
        <v>349</v>
      </c>
      <c r="AB12" s="10">
        <f>SUMIFS(Master!$F$3:$F$532,Master!$C$3:$C$532,AB$2,Master!$E$3:$E$532,"&gt;="&amp;$A12,Master!$E$3:$E$532,"&lt;"&amp;($A12+1),Master!$H$3:$H$532,"captured")</f>
        <v>99</v>
      </c>
      <c r="AC12" s="10">
        <f>SUMIFS(Master!$F$3:$F$532,Master!$C$3:$C$532,AC$2,Master!$E$3:$E$532,"&gt;="&amp;$A12,Master!$E$3:$E$532,"&lt;"&amp;($A12+1),Master!$H$3:$H$532,"captured")</f>
        <v>499</v>
      </c>
      <c r="AD12" s="10">
        <f>SUMIFS(Master!$F$3:$F$532,Master!$C$3:$C$532,AD$2,Master!$E$3:$E$532,"&gt;="&amp;$A12,Master!$E$3:$E$532,"&lt;"&amp;($A12+1),Master!$H$3:$H$532,"captured")</f>
        <v>0</v>
      </c>
      <c r="AE12" s="10">
        <f>SUMIFS(Master!$F$3:$F$532,Master!$C$3:$C$532,AE$2,Master!$E$3:$E$532,"&gt;="&amp;$A12,Master!$E$3:$E$532,"&lt;"&amp;($A12+1),Master!$H$3:$H$532,"captured")</f>
        <v>0</v>
      </c>
      <c r="AF12" s="10">
        <f>SUMIFS(Master!$F$3:$F$532,Master!$C$3:$C$532,AF$2,Master!$E$3:$E$532,"&gt;="&amp;$A12,Master!$E$3:$E$532,"&lt;"&amp;($A12+1),Master!$H$3:$H$532,"captured")</f>
        <v>499</v>
      </c>
      <c r="AG12" s="10">
        <f>SUMIFS(Master!$F$3:$F$532,Master!$C$3:$C$532,AG$2,Master!$E$3:$E$532,"&gt;="&amp;$A12,Master!$E$3:$E$532,"&lt;"&amp;($A12+1),Master!$H$3:$H$532,"captured")</f>
        <v>149</v>
      </c>
      <c r="AH12" s="10">
        <f>SUMIFS(Master!$F$3:$F$532,Master!$C$3:$C$532,AH$2,Master!$E$3:$E$532,"&gt;="&amp;$A12,Master!$E$3:$E$532,"&lt;"&amp;($A12+1),Master!$H$3:$H$532,"captured")</f>
        <v>0</v>
      </c>
      <c r="AI12" s="10">
        <f>SUMIFS(Master!$F$3:$F$532,Master!$C$3:$C$532,AI$2,Master!$E$3:$E$532,"&gt;="&amp;$A12,Master!$E$3:$E$532,"&lt;"&amp;($A12+1),Master!$H$3:$H$532,"captured")</f>
        <v>49</v>
      </c>
      <c r="AJ12" s="10">
        <f>SUMIFS(Master!$F$3:$F$532,Master!$C$3:$C$532,AJ$2,Master!$E$3:$E$532,"&gt;="&amp;$A12,Master!$E$3:$E$532,"&lt;"&amp;($A12+1),Master!$H$3:$H$532,"captured")</f>
        <v>0</v>
      </c>
      <c r="AK12" s="10">
        <f>SUMIFS(Master!$F$3:$F$532,Master!$C$3:$C$532,AK$2,Master!$E$3:$E$532,"&gt;="&amp;$A12,Master!$E$3:$E$532,"&lt;"&amp;($A12+1),Master!$H$3:$H$532,"captured")</f>
        <v>0</v>
      </c>
      <c r="AL12" s="10">
        <f>SUMIFS(Master!$F$3:$F$532,Master!$C$3:$C$532,AL$2,Master!$E$3:$E$532,"&gt;="&amp;$A12,Master!$E$3:$E$532,"&lt;"&amp;($A12+1),Master!$H$3:$H$532,"captured")</f>
        <v>0</v>
      </c>
      <c r="AM12" s="10">
        <f>SUMIFS(Master!$F$3:$F$532,Master!$C$3:$C$532,AM$2,Master!$E$3:$E$532,"&gt;="&amp;$A12,Master!$E$3:$E$532,"&lt;"&amp;($A12+1),Master!$H$3:$H$532,"captured")</f>
        <v>398</v>
      </c>
      <c r="AN12" s="10">
        <f>SUMIFS(Master!$F$3:$F$532,Master!$C$3:$C$532,AN$2,Master!$E$3:$E$532,"&gt;="&amp;$A12,Master!$E$3:$E$532,"&lt;"&amp;($A12+1),Master!$H$3:$H$532,"captured")</f>
        <v>-1</v>
      </c>
      <c r="AO12" s="10">
        <f>SUMIFS(Master!$F$3:$F$532,Master!$C$3:$C$532,AO$2,Master!$E$3:$E$532,"&gt;="&amp;$A12,Master!$E$3:$E$532,"&lt;"&amp;($A12+1),Master!$H$3:$H$532,"captured")</f>
        <v>0</v>
      </c>
    </row>
    <row r="13" spans="1:41" x14ac:dyDescent="0.25">
      <c r="A13" s="9">
        <v>46033</v>
      </c>
      <c r="B13" s="10">
        <f>SUMIFS(Master!$F$3:$F$532,Master!$C$3:$C$532,B$2,Master!$E$3:$E$532,"&gt;="&amp;$A13,Master!$E$3:$E$532,"&lt;"&amp;($A13+1),Master!$H$3:$H$532,"captured")</f>
        <v>0</v>
      </c>
      <c r="C13" s="10">
        <f>SUMIFS(Master!$F$3:$F$532,Master!$C$3:$C$532,C$2,Master!$E$3:$E$532,"&gt;="&amp;$A13,Master!$E$3:$E$532,"&lt;"&amp;($A13+1),Master!$H$3:$H$532,"captured")</f>
        <v>0</v>
      </c>
      <c r="D13" s="10">
        <f>SUMIFS(Master!$F$3:$F$532,Master!$C$3:$C$532,D$2,Master!$E$3:$E$532,"&gt;="&amp;$A13,Master!$E$3:$E$532,"&lt;"&amp;($A13+1),Master!$H$3:$H$532,"captured")</f>
        <v>0</v>
      </c>
      <c r="E13" s="10">
        <f>SUMIFS(Master!$F$3:$F$532,Master!$C$3:$C$532,E$2,Master!$E$3:$E$532,"&gt;="&amp;$A13,Master!$E$3:$E$532,"&lt;"&amp;($A13+1),Master!$H$3:$H$532,"captured")</f>
        <v>0</v>
      </c>
      <c r="F13" s="10">
        <f>SUMIFS(Master!$F$3:$F$532,Master!$C$3:$C$532,F$2,Master!$E$3:$E$532,"&gt;="&amp;$A13,Master!$E$3:$E$532,"&lt;"&amp;($A13+1),Master!$H$3:$H$532,"captured")</f>
        <v>0</v>
      </c>
      <c r="G13" s="10">
        <f>SUMIFS(Master!$F$3:$F$532,Master!$C$3:$C$532,G$2,Master!$E$3:$E$532,"&gt;="&amp;$A13,Master!$E$3:$E$532,"&lt;"&amp;($A13+1),Master!$H$3:$H$532,"captured")</f>
        <v>1499</v>
      </c>
      <c r="H13" s="10">
        <f>SUMIFS(Master!$F$3:$F$532,Master!$C$3:$C$532,H$2,Master!$E$3:$E$532,"&gt;="&amp;$A13,Master!$E$3:$E$532,"&lt;"&amp;($A13+1),Master!$H$3:$H$532,"captured")</f>
        <v>0</v>
      </c>
      <c r="I13" s="10">
        <f>SUMIFS(Master!$F$3:$F$532,Master!$C$3:$C$532,I$2,Master!$E$3:$E$532,"&gt;="&amp;$A13,Master!$E$3:$E$532,"&lt;"&amp;($A13+1),Master!$H$3:$H$532,"captured")</f>
        <v>149</v>
      </c>
      <c r="J13" s="10">
        <f>SUMIFS(Master!$F$3:$F$532,Master!$C$3:$C$532,J$2,Master!$E$3:$E$532,"&gt;="&amp;$A13,Master!$E$3:$E$532,"&lt;"&amp;($A13+1),Master!$H$3:$H$532,"captured")</f>
        <v>0</v>
      </c>
      <c r="K13" s="10">
        <f>SUMIFS(Master!$F$3:$F$532,Master!$C$3:$C$532,K$2,Master!$E$3:$E$532,"&gt;="&amp;$A13,Master!$E$3:$E$532,"&lt;"&amp;($A13+1),Master!$H$3:$H$532,"captured")</f>
        <v>98</v>
      </c>
      <c r="L13" s="10">
        <f>SUMIFS(Master!$F$3:$F$532,Master!$C$3:$C$532,L$2,Master!$E$3:$E$532,"&gt;="&amp;$A13,Master!$E$3:$E$532,"&lt;"&amp;($A13+1),Master!$H$3:$H$532,"captured")</f>
        <v>4999</v>
      </c>
      <c r="M13" s="10">
        <f>SUMIFS(Master!$F$3:$F$532,Master!$C$3:$C$532,M$2,Master!$E$3:$E$532,"&gt;="&amp;$A13,Master!$E$3:$E$532,"&lt;"&amp;($A13+1),Master!$H$3:$H$532,"captured")</f>
        <v>0</v>
      </c>
      <c r="N13" s="10">
        <f>SUMIFS(Master!$F$3:$F$532,Master!$C$3:$C$532,N$2,Master!$E$3:$E$532,"&gt;="&amp;$A13,Master!$E$3:$E$532,"&lt;"&amp;($A13+1),Master!$H$3:$H$532,"captured")</f>
        <v>0</v>
      </c>
      <c r="O13" s="10">
        <f>SUMIFS(Master!$F$3:$F$532,Master!$C$3:$C$532,O$2,Master!$E$3:$E$532,"&gt;="&amp;$A13,Master!$E$3:$E$532,"&lt;"&amp;($A13+1),Master!$H$3:$H$532,"captured")</f>
        <v>0</v>
      </c>
      <c r="P13" s="10">
        <f>SUMIFS(Master!$F$3:$F$532,Master!$C$3:$C$532,P$2,Master!$E$3:$E$532,"&gt;="&amp;$A13,Master!$E$3:$E$532,"&lt;"&amp;($A13+1),Master!$H$3:$H$532,"captured")</f>
        <v>0</v>
      </c>
      <c r="Q13" s="10">
        <f>SUMIFS(Master!$F$3:$F$532,Master!$C$3:$C$532,Q$2,Master!$E$3:$E$532,"&gt;="&amp;$A13,Master!$E$3:$E$532,"&lt;"&amp;($A13+1),Master!$H$3:$H$532,"captured")</f>
        <v>499</v>
      </c>
      <c r="R13" s="10">
        <f>SUMIFS(Master!$F$3:$F$532,Master!$C$3:$C$532,R$2,Master!$E$3:$E$532,"&gt;="&amp;$A13,Master!$E$3:$E$532,"&lt;"&amp;($A13+1),Master!$H$3:$H$532,"captured")</f>
        <v>7998</v>
      </c>
      <c r="S13" s="10">
        <f>SUMIFS(Master!$F$3:$F$532,Master!$C$3:$C$532,S$2,Master!$E$3:$E$532,"&gt;="&amp;$A13,Master!$E$3:$E$532,"&lt;"&amp;($A13+1),Master!$H$3:$H$532,"captured")</f>
        <v>799</v>
      </c>
      <c r="T13" s="10">
        <f>SUMIFS(Master!$F$3:$F$532,Master!$C$3:$C$532,T$2,Master!$E$3:$E$532,"&gt;="&amp;$A13,Master!$E$3:$E$532,"&lt;"&amp;($A13+1),Master!$H$3:$H$532,"captured")</f>
        <v>0</v>
      </c>
      <c r="U13" s="10">
        <f>SUMIFS(Master!$F$3:$F$532,Master!$C$3:$C$532,U$2,Master!$E$3:$E$532,"&gt;="&amp;$A13,Master!$E$3:$E$532,"&lt;"&amp;($A13+1),Master!$H$3:$H$532,"captured")</f>
        <v>0</v>
      </c>
      <c r="V13" s="10">
        <f>SUMIFS(Master!$F$3:$F$532,Master!$C$3:$C$532,V$2,Master!$E$3:$E$532,"&gt;="&amp;$A13,Master!$E$3:$E$532,"&lt;"&amp;($A13+1),Master!$H$3:$H$532,"captured")</f>
        <v>0</v>
      </c>
      <c r="W13" s="10">
        <f>SUMIFS(Master!$F$3:$F$532,Master!$C$3:$C$532,W$2,Master!$E$3:$E$532,"&gt;="&amp;$A13,Master!$E$3:$E$532,"&lt;"&amp;($A13+1),Master!$H$3:$H$532,"captured")</f>
        <v>299</v>
      </c>
      <c r="X13" s="10">
        <f>SUMIFS(Master!$F$3:$F$532,Master!$C$3:$C$532,X$2,Master!$E$3:$E$532,"&gt;="&amp;$A13,Master!$E$3:$E$532,"&lt;"&amp;($A13+1),Master!$H$3:$H$532,"captured")</f>
        <v>0</v>
      </c>
      <c r="Y13" s="10">
        <f>SUMIFS(Master!$F$3:$F$532,Master!$C$3:$C$532,Y$2,Master!$E$3:$E$532,"&gt;="&amp;$A13,Master!$E$3:$E$532,"&lt;"&amp;($A13+1),Master!$H$3:$H$532,"captured")</f>
        <v>799</v>
      </c>
      <c r="Z13" s="10">
        <f>SUMIFS(Master!$F$3:$F$532,Master!$C$3:$C$532,Z$2,Master!$E$3:$E$532,"&gt;="&amp;$A13,Master!$E$3:$E$532,"&lt;"&amp;($A13+1),Master!$H$3:$H$532,"captured")</f>
        <v>799</v>
      </c>
      <c r="AA13" s="10">
        <f>SUMIFS(Master!$F$3:$F$532,Master!$C$3:$C$532,AA$2,Master!$E$3:$E$532,"&gt;="&amp;$A13,Master!$E$3:$E$532,"&lt;"&amp;($A13+1),Master!$H$3:$H$532,"captured")</f>
        <v>0</v>
      </c>
      <c r="AB13" s="10">
        <f>SUMIFS(Master!$F$3:$F$532,Master!$C$3:$C$532,AB$2,Master!$E$3:$E$532,"&gt;="&amp;$A13,Master!$E$3:$E$532,"&lt;"&amp;($A13+1),Master!$H$3:$H$532,"captured")</f>
        <v>0</v>
      </c>
      <c r="AC13" s="10">
        <f>SUMIFS(Master!$F$3:$F$532,Master!$C$3:$C$532,AC$2,Master!$E$3:$E$532,"&gt;="&amp;$A13,Master!$E$3:$E$532,"&lt;"&amp;($A13+1),Master!$H$3:$H$532,"captured")</f>
        <v>49</v>
      </c>
      <c r="AD13" s="10">
        <f>SUMIFS(Master!$F$3:$F$532,Master!$C$3:$C$532,AD$2,Master!$E$3:$E$532,"&gt;="&amp;$A13,Master!$E$3:$E$532,"&lt;"&amp;($A13+1),Master!$H$3:$H$532,"captured")</f>
        <v>0</v>
      </c>
      <c r="AE13" s="10">
        <f>SUMIFS(Master!$F$3:$F$532,Master!$C$3:$C$532,AE$2,Master!$E$3:$E$532,"&gt;="&amp;$A13,Master!$E$3:$E$532,"&lt;"&amp;($A13+1),Master!$H$3:$H$532,"captured")</f>
        <v>0</v>
      </c>
      <c r="AF13" s="10">
        <f>SUMIFS(Master!$F$3:$F$532,Master!$C$3:$C$532,AF$2,Master!$E$3:$E$532,"&gt;="&amp;$A13,Master!$E$3:$E$532,"&lt;"&amp;($A13+1),Master!$H$3:$H$532,"captured")</f>
        <v>0</v>
      </c>
      <c r="AG13" s="10">
        <f>SUMIFS(Master!$F$3:$F$532,Master!$C$3:$C$532,AG$2,Master!$E$3:$E$532,"&gt;="&amp;$A13,Master!$E$3:$E$532,"&lt;"&amp;($A13+1),Master!$H$3:$H$532,"captured")</f>
        <v>0</v>
      </c>
      <c r="AH13" s="10">
        <f>SUMIFS(Master!$F$3:$F$532,Master!$C$3:$C$532,AH$2,Master!$E$3:$E$532,"&gt;="&amp;$A13,Master!$E$3:$E$532,"&lt;"&amp;($A13+1),Master!$H$3:$H$532,"captured")</f>
        <v>0</v>
      </c>
      <c r="AI13" s="10">
        <f>SUMIFS(Master!$F$3:$F$532,Master!$C$3:$C$532,AI$2,Master!$E$3:$E$532,"&gt;="&amp;$A13,Master!$E$3:$E$532,"&lt;"&amp;($A13+1),Master!$H$3:$H$532,"captured")</f>
        <v>0</v>
      </c>
      <c r="AJ13" s="10">
        <f>SUMIFS(Master!$F$3:$F$532,Master!$C$3:$C$532,AJ$2,Master!$E$3:$E$532,"&gt;="&amp;$A13,Master!$E$3:$E$532,"&lt;"&amp;($A13+1),Master!$H$3:$H$532,"captured")</f>
        <v>4999</v>
      </c>
      <c r="AK13" s="10">
        <f>SUMIFS(Master!$F$3:$F$532,Master!$C$3:$C$532,AK$2,Master!$E$3:$E$532,"&gt;="&amp;$A13,Master!$E$3:$E$532,"&lt;"&amp;($A13+1),Master!$H$3:$H$532,"captured")</f>
        <v>0</v>
      </c>
      <c r="AL13" s="10">
        <f>SUMIFS(Master!$F$3:$F$532,Master!$C$3:$C$532,AL$2,Master!$E$3:$E$532,"&gt;="&amp;$A13,Master!$E$3:$E$532,"&lt;"&amp;($A13+1),Master!$H$3:$H$532,"captured")</f>
        <v>0</v>
      </c>
      <c r="AM13" s="10">
        <f>SUMIFS(Master!$F$3:$F$532,Master!$C$3:$C$532,AM$2,Master!$E$3:$E$532,"&gt;="&amp;$A13,Master!$E$3:$E$532,"&lt;"&amp;($A13+1),Master!$H$3:$H$532,"captured")</f>
        <v>0</v>
      </c>
      <c r="AN13" s="10">
        <f>SUMIFS(Master!$F$3:$F$532,Master!$C$3:$C$532,AN$2,Master!$E$3:$E$532,"&gt;="&amp;$A13,Master!$E$3:$E$532,"&lt;"&amp;($A13+1),Master!$H$3:$H$532,"captured")</f>
        <v>0</v>
      </c>
      <c r="AO13" s="10">
        <f>SUMIFS(Master!$F$3:$F$532,Master!$C$3:$C$532,AO$2,Master!$E$3:$E$532,"&gt;="&amp;$A13,Master!$E$3:$E$532,"&lt;"&amp;($A13+1),Master!$H$3:$H$532,"captured")</f>
        <v>0</v>
      </c>
    </row>
    <row r="14" spans="1:41" x14ac:dyDescent="0.25">
      <c r="A14" s="9">
        <v>46034</v>
      </c>
      <c r="B14" s="10">
        <f>SUMIFS(Master!$F$3:$F$532,Master!$C$3:$C$532,B$2,Master!$E$3:$E$532,"&gt;="&amp;$A14,Master!$E$3:$E$532,"&lt;"&amp;($A14+1),Master!$H$3:$H$532,"captured")</f>
        <v>149</v>
      </c>
      <c r="C14" s="10">
        <f>SUMIFS(Master!$F$3:$F$532,Master!$C$3:$C$532,C$2,Master!$E$3:$E$532,"&gt;="&amp;$A14,Master!$E$3:$E$532,"&lt;"&amp;($A14+1),Master!$H$3:$H$532,"captured")</f>
        <v>348</v>
      </c>
      <c r="D14" s="10">
        <f>SUMIFS(Master!$F$3:$F$532,Master!$C$3:$C$532,D$2,Master!$E$3:$E$532,"&gt;="&amp;$A14,Master!$E$3:$E$532,"&lt;"&amp;($A14+1),Master!$H$3:$H$532,"captured")</f>
        <v>0</v>
      </c>
      <c r="E14" s="10">
        <f>SUMIFS(Master!$F$3:$F$532,Master!$C$3:$C$532,E$2,Master!$E$3:$E$532,"&gt;="&amp;$A14,Master!$E$3:$E$532,"&lt;"&amp;($A14+1),Master!$H$3:$H$532,"captured")</f>
        <v>49</v>
      </c>
      <c r="F14" s="10">
        <f>SUMIFS(Master!$F$3:$F$532,Master!$C$3:$C$532,F$2,Master!$E$3:$E$532,"&gt;="&amp;$A14,Master!$E$3:$E$532,"&lt;"&amp;($A14+1),Master!$H$3:$H$532,"captured")</f>
        <v>0</v>
      </c>
      <c r="G14" s="10">
        <f>SUMIFS(Master!$F$3:$F$532,Master!$C$3:$C$532,G$2,Master!$E$3:$E$532,"&gt;="&amp;$A14,Master!$E$3:$E$532,"&lt;"&amp;($A14+1),Master!$H$3:$H$532,"captured")</f>
        <v>0</v>
      </c>
      <c r="H14" s="10">
        <f>SUMIFS(Master!$F$3:$F$532,Master!$C$3:$C$532,H$2,Master!$E$3:$E$532,"&gt;="&amp;$A14,Master!$E$3:$E$532,"&lt;"&amp;($A14+1),Master!$H$3:$H$532,"captured")</f>
        <v>0</v>
      </c>
      <c r="I14" s="10">
        <f>SUMIFS(Master!$F$3:$F$532,Master!$C$3:$C$532,I$2,Master!$E$3:$E$532,"&gt;="&amp;$A14,Master!$E$3:$E$532,"&lt;"&amp;($A14+1),Master!$H$3:$H$532,"captured")</f>
        <v>398</v>
      </c>
      <c r="J14" s="10">
        <f>SUMIFS(Master!$F$3:$F$532,Master!$C$3:$C$532,J$2,Master!$E$3:$E$532,"&gt;="&amp;$A14,Master!$E$3:$E$532,"&lt;"&amp;($A14+1),Master!$H$3:$H$532,"captured")</f>
        <v>299</v>
      </c>
      <c r="K14" s="10">
        <f>SUMIFS(Master!$F$3:$F$532,Master!$C$3:$C$532,K$2,Master!$E$3:$E$532,"&gt;="&amp;$A14,Master!$E$3:$E$532,"&lt;"&amp;($A14+1),Master!$H$3:$H$532,"captured")</f>
        <v>0</v>
      </c>
      <c r="L14" s="10">
        <f>SUMIFS(Master!$F$3:$F$532,Master!$C$3:$C$532,L$2,Master!$E$3:$E$532,"&gt;="&amp;$A14,Master!$E$3:$E$532,"&lt;"&amp;($A14+1),Master!$H$3:$H$532,"captured")</f>
        <v>0</v>
      </c>
      <c r="M14" s="10">
        <f>SUMIFS(Master!$F$3:$F$532,Master!$C$3:$C$532,M$2,Master!$E$3:$E$532,"&gt;="&amp;$A14,Master!$E$3:$E$532,"&lt;"&amp;($A14+1),Master!$H$3:$H$532,"captured")</f>
        <v>1499</v>
      </c>
      <c r="N14" s="10">
        <f>SUMIFS(Master!$F$3:$F$532,Master!$C$3:$C$532,N$2,Master!$E$3:$E$532,"&gt;="&amp;$A14,Master!$E$3:$E$532,"&lt;"&amp;($A14+1),Master!$H$3:$H$532,"captured")</f>
        <v>0</v>
      </c>
      <c r="O14" s="10">
        <f>SUMIFS(Master!$F$3:$F$532,Master!$C$3:$C$532,O$2,Master!$E$3:$E$532,"&gt;="&amp;$A14,Master!$E$3:$E$532,"&lt;"&amp;($A14+1),Master!$H$3:$H$532,"captured")</f>
        <v>0</v>
      </c>
      <c r="P14" s="10">
        <f>SUMIFS(Master!$F$3:$F$532,Master!$C$3:$C$532,P$2,Master!$E$3:$E$532,"&gt;="&amp;$A14,Master!$E$3:$E$532,"&lt;"&amp;($A14+1),Master!$H$3:$H$532,"captured")</f>
        <v>0</v>
      </c>
      <c r="Q14" s="10">
        <f>SUMIFS(Master!$F$3:$F$532,Master!$C$3:$C$532,Q$2,Master!$E$3:$E$532,"&gt;="&amp;$A14,Master!$E$3:$E$532,"&lt;"&amp;($A14+1),Master!$H$3:$H$532,"captured")</f>
        <v>0</v>
      </c>
      <c r="R14" s="10">
        <f>SUMIFS(Master!$F$3:$F$532,Master!$C$3:$C$532,R$2,Master!$E$3:$E$532,"&gt;="&amp;$A14,Master!$E$3:$E$532,"&lt;"&amp;($A14+1),Master!$H$3:$H$532,"captured")</f>
        <v>1499</v>
      </c>
      <c r="S14" s="10">
        <f>SUMIFS(Master!$F$3:$F$532,Master!$C$3:$C$532,S$2,Master!$E$3:$E$532,"&gt;="&amp;$A14,Master!$E$3:$E$532,"&lt;"&amp;($A14+1),Master!$H$3:$H$532,"captured")</f>
        <v>-51</v>
      </c>
      <c r="T14" s="10">
        <f>SUMIFS(Master!$F$3:$F$532,Master!$C$3:$C$532,T$2,Master!$E$3:$E$532,"&gt;="&amp;$A14,Master!$E$3:$E$532,"&lt;"&amp;($A14+1),Master!$H$3:$H$532,"captured")</f>
        <v>0</v>
      </c>
      <c r="U14" s="10">
        <f>SUMIFS(Master!$F$3:$F$532,Master!$C$3:$C$532,U$2,Master!$E$3:$E$532,"&gt;="&amp;$A14,Master!$E$3:$E$532,"&lt;"&amp;($A14+1),Master!$H$3:$H$532,"captured")</f>
        <v>0</v>
      </c>
      <c r="V14" s="10">
        <f>SUMIFS(Master!$F$3:$F$532,Master!$C$3:$C$532,V$2,Master!$E$3:$E$532,"&gt;="&amp;$A14,Master!$E$3:$E$532,"&lt;"&amp;($A14+1),Master!$H$3:$H$532,"captured")</f>
        <v>0</v>
      </c>
      <c r="W14" s="10">
        <f>SUMIFS(Master!$F$3:$F$532,Master!$C$3:$C$532,W$2,Master!$E$3:$E$532,"&gt;="&amp;$A14,Master!$E$3:$E$532,"&lt;"&amp;($A14+1),Master!$H$3:$H$532,"captured")</f>
        <v>1298</v>
      </c>
      <c r="X14" s="10">
        <f>SUMIFS(Master!$F$3:$F$532,Master!$C$3:$C$532,X$2,Master!$E$3:$E$532,"&gt;="&amp;$A14,Master!$E$3:$E$532,"&lt;"&amp;($A14+1),Master!$H$3:$H$532,"captured")</f>
        <v>149</v>
      </c>
      <c r="Y14" s="10">
        <f>SUMIFS(Master!$F$3:$F$532,Master!$C$3:$C$532,Y$2,Master!$E$3:$E$532,"&gt;="&amp;$A14,Master!$E$3:$E$532,"&lt;"&amp;($A14+1),Master!$H$3:$H$532,"captured")</f>
        <v>149</v>
      </c>
      <c r="Z14" s="10">
        <f>SUMIFS(Master!$F$3:$F$532,Master!$C$3:$C$532,Z$2,Master!$E$3:$E$532,"&gt;="&amp;$A14,Master!$E$3:$E$532,"&lt;"&amp;($A14+1),Master!$H$3:$H$532,"captured")</f>
        <v>0</v>
      </c>
      <c r="AA14" s="10">
        <f>SUMIFS(Master!$F$3:$F$532,Master!$C$3:$C$532,AA$2,Master!$E$3:$E$532,"&gt;="&amp;$A14,Master!$E$3:$E$532,"&lt;"&amp;($A14+1),Master!$H$3:$H$532,"captured")</f>
        <v>299</v>
      </c>
      <c r="AB14" s="10">
        <f>SUMIFS(Master!$F$3:$F$532,Master!$C$3:$C$532,AB$2,Master!$E$3:$E$532,"&gt;="&amp;$A14,Master!$E$3:$E$532,"&lt;"&amp;($A14+1),Master!$H$3:$H$532,"captured")</f>
        <v>299</v>
      </c>
      <c r="AC14" s="10">
        <f>SUMIFS(Master!$F$3:$F$532,Master!$C$3:$C$532,AC$2,Master!$E$3:$E$532,"&gt;="&amp;$A14,Master!$E$3:$E$532,"&lt;"&amp;($A14+1),Master!$H$3:$H$532,"captured")</f>
        <v>0</v>
      </c>
      <c r="AD14" s="10">
        <f>SUMIFS(Master!$F$3:$F$532,Master!$C$3:$C$532,AD$2,Master!$E$3:$E$532,"&gt;="&amp;$A14,Master!$E$3:$E$532,"&lt;"&amp;($A14+1),Master!$H$3:$H$532,"captured")</f>
        <v>399</v>
      </c>
      <c r="AE14" s="10">
        <f>SUMIFS(Master!$F$3:$F$532,Master!$C$3:$C$532,AE$2,Master!$E$3:$E$532,"&gt;="&amp;$A14,Master!$E$3:$E$532,"&lt;"&amp;($A14+1),Master!$H$3:$H$532,"captured")</f>
        <v>0</v>
      </c>
      <c r="AF14" s="10">
        <f>SUMIFS(Master!$F$3:$F$532,Master!$C$3:$C$532,AF$2,Master!$E$3:$E$532,"&gt;="&amp;$A14,Master!$E$3:$E$532,"&lt;"&amp;($A14+1),Master!$H$3:$H$532,"captured")</f>
        <v>0</v>
      </c>
      <c r="AG14" s="10">
        <f>SUMIFS(Master!$F$3:$F$532,Master!$C$3:$C$532,AG$2,Master!$E$3:$E$532,"&gt;="&amp;$A14,Master!$E$3:$E$532,"&lt;"&amp;($A14+1),Master!$H$3:$H$532,"captured")</f>
        <v>0</v>
      </c>
      <c r="AH14" s="10">
        <f>SUMIFS(Master!$F$3:$F$532,Master!$C$3:$C$532,AH$2,Master!$E$3:$E$532,"&gt;="&amp;$A14,Master!$E$3:$E$532,"&lt;"&amp;($A14+1),Master!$H$3:$H$532,"captured")</f>
        <v>299</v>
      </c>
      <c r="AI14" s="10">
        <f>SUMIFS(Master!$F$3:$F$532,Master!$C$3:$C$532,AI$2,Master!$E$3:$E$532,"&gt;="&amp;$A14,Master!$E$3:$E$532,"&lt;"&amp;($A14+1),Master!$H$3:$H$532,"captured")</f>
        <v>0</v>
      </c>
      <c r="AJ14" s="10">
        <f>SUMIFS(Master!$F$3:$F$532,Master!$C$3:$C$532,AJ$2,Master!$E$3:$E$532,"&gt;="&amp;$A14,Master!$E$3:$E$532,"&lt;"&amp;($A14+1),Master!$H$3:$H$532,"captured")</f>
        <v>99</v>
      </c>
      <c r="AK14" s="10">
        <f>SUMIFS(Master!$F$3:$F$532,Master!$C$3:$C$532,AK$2,Master!$E$3:$E$532,"&gt;="&amp;$A14,Master!$E$3:$E$532,"&lt;"&amp;($A14+1),Master!$H$3:$H$532,"captured")</f>
        <v>0</v>
      </c>
      <c r="AL14" s="10">
        <f>SUMIFS(Master!$F$3:$F$532,Master!$C$3:$C$532,AL$2,Master!$E$3:$E$532,"&gt;="&amp;$A14,Master!$E$3:$E$532,"&lt;"&amp;($A14+1),Master!$H$3:$H$532,"captured")</f>
        <v>149</v>
      </c>
      <c r="AM14" s="10">
        <f>SUMIFS(Master!$F$3:$F$532,Master!$C$3:$C$532,AM$2,Master!$E$3:$E$532,"&gt;="&amp;$A14,Master!$E$3:$E$532,"&lt;"&amp;($A14+1),Master!$H$3:$H$532,"captured")</f>
        <v>0</v>
      </c>
      <c r="AN14" s="10">
        <f>SUMIFS(Master!$F$3:$F$532,Master!$C$3:$C$532,AN$2,Master!$E$3:$E$532,"&gt;="&amp;$A14,Master!$E$3:$E$532,"&lt;"&amp;($A14+1),Master!$H$3:$H$532,"captured")</f>
        <v>0</v>
      </c>
      <c r="AO14" s="10">
        <f>SUMIFS(Master!$F$3:$F$532,Master!$C$3:$C$532,AO$2,Master!$E$3:$E$532,"&gt;="&amp;$A14,Master!$E$3:$E$532,"&lt;"&amp;($A14+1),Master!$H$3:$H$532,"captured")</f>
        <v>99</v>
      </c>
    </row>
    <row r="15" spans="1:41" x14ac:dyDescent="0.25">
      <c r="A15" s="9">
        <v>46035</v>
      </c>
      <c r="B15" s="10">
        <f>SUMIFS(Master!$F$3:$F$532,Master!$C$3:$C$532,B$2,Master!$E$3:$E$532,"&gt;="&amp;$A15,Master!$E$3:$E$532,"&lt;"&amp;($A15+1),Master!$H$3:$H$532,"captured")</f>
        <v>0</v>
      </c>
      <c r="C15" s="10">
        <f>SUMIFS(Master!$F$3:$F$532,Master!$C$3:$C$532,C$2,Master!$E$3:$E$532,"&gt;="&amp;$A15,Master!$E$3:$E$532,"&lt;"&amp;($A15+1),Master!$H$3:$H$532,"captured")</f>
        <v>49</v>
      </c>
      <c r="D15" s="10">
        <f>SUMIFS(Master!$F$3:$F$532,Master!$C$3:$C$532,D$2,Master!$E$3:$E$532,"&gt;="&amp;$A15,Master!$E$3:$E$532,"&lt;"&amp;($A15+1),Master!$H$3:$H$532,"captured")</f>
        <v>49</v>
      </c>
      <c r="E15" s="10">
        <f>SUMIFS(Master!$F$3:$F$532,Master!$C$3:$C$532,E$2,Master!$E$3:$E$532,"&gt;="&amp;$A15,Master!$E$3:$E$532,"&lt;"&amp;($A15+1),Master!$H$3:$H$532,"captured")</f>
        <v>948</v>
      </c>
      <c r="F15" s="10">
        <f>SUMIFS(Master!$F$3:$F$532,Master!$C$3:$C$532,F$2,Master!$E$3:$E$532,"&gt;="&amp;$A15,Master!$E$3:$E$532,"&lt;"&amp;($A15+1),Master!$H$3:$H$532,"captured")</f>
        <v>0</v>
      </c>
      <c r="G15" s="10">
        <f>SUMIFS(Master!$F$3:$F$532,Master!$C$3:$C$532,G$2,Master!$E$3:$E$532,"&gt;="&amp;$A15,Master!$E$3:$E$532,"&lt;"&amp;($A15+1),Master!$H$3:$H$532,"captured")</f>
        <v>1499</v>
      </c>
      <c r="H15" s="10">
        <f>SUMIFS(Master!$F$3:$F$532,Master!$C$3:$C$532,H$2,Master!$E$3:$E$532,"&gt;="&amp;$A15,Master!$E$3:$E$532,"&lt;"&amp;($A15+1),Master!$H$3:$H$532,"captured")</f>
        <v>0</v>
      </c>
      <c r="I15" s="10">
        <f>SUMIFS(Master!$F$3:$F$532,Master!$C$3:$C$532,I$2,Master!$E$3:$E$532,"&gt;="&amp;$A15,Master!$E$3:$E$532,"&lt;"&amp;($A15+1),Master!$H$3:$H$532,"captured")</f>
        <v>0</v>
      </c>
      <c r="J15" s="10">
        <f>SUMIFS(Master!$F$3:$F$532,Master!$C$3:$C$532,J$2,Master!$E$3:$E$532,"&gt;="&amp;$A15,Master!$E$3:$E$532,"&lt;"&amp;($A15+1),Master!$H$3:$H$532,"captured")</f>
        <v>0</v>
      </c>
      <c r="K15" s="10">
        <f>SUMIFS(Master!$F$3:$F$532,Master!$C$3:$C$532,K$2,Master!$E$3:$E$532,"&gt;="&amp;$A15,Master!$E$3:$E$532,"&lt;"&amp;($A15+1),Master!$H$3:$H$532,"captured")</f>
        <v>1499</v>
      </c>
      <c r="L15" s="10">
        <f>SUMIFS(Master!$F$3:$F$532,Master!$C$3:$C$532,L$2,Master!$E$3:$E$532,"&gt;="&amp;$A15,Master!$E$3:$E$532,"&lt;"&amp;($A15+1),Master!$H$3:$H$532,"captured")</f>
        <v>0</v>
      </c>
      <c r="M15" s="10">
        <f>SUMIFS(Master!$F$3:$F$532,Master!$C$3:$C$532,M$2,Master!$E$3:$E$532,"&gt;="&amp;$A15,Master!$E$3:$E$532,"&lt;"&amp;($A15+1),Master!$H$3:$H$532,"captured")</f>
        <v>0</v>
      </c>
      <c r="N15" s="10">
        <f>SUMIFS(Master!$F$3:$F$532,Master!$C$3:$C$532,N$2,Master!$E$3:$E$532,"&gt;="&amp;$A15,Master!$E$3:$E$532,"&lt;"&amp;($A15+1),Master!$H$3:$H$532,"captured")</f>
        <v>0</v>
      </c>
      <c r="O15" s="10">
        <f>SUMIFS(Master!$F$3:$F$532,Master!$C$3:$C$532,O$2,Master!$E$3:$E$532,"&gt;="&amp;$A15,Master!$E$3:$E$532,"&lt;"&amp;($A15+1),Master!$H$3:$H$532,"captured")</f>
        <v>0</v>
      </c>
      <c r="P15" s="10">
        <f>SUMIFS(Master!$F$3:$F$532,Master!$C$3:$C$532,P$2,Master!$E$3:$E$532,"&gt;="&amp;$A15,Master!$E$3:$E$532,"&lt;"&amp;($A15+1),Master!$H$3:$H$532,"captured")</f>
        <v>299</v>
      </c>
      <c r="Q15" s="10">
        <f>SUMIFS(Master!$F$3:$F$532,Master!$C$3:$C$532,Q$2,Master!$E$3:$E$532,"&gt;="&amp;$A15,Master!$E$3:$E$532,"&lt;"&amp;($A15+1),Master!$H$3:$H$532,"captured")</f>
        <v>0</v>
      </c>
      <c r="R15" s="10">
        <f>SUMIFS(Master!$F$3:$F$532,Master!$C$3:$C$532,R$2,Master!$E$3:$E$532,"&gt;="&amp;$A15,Master!$E$3:$E$532,"&lt;"&amp;($A15+1),Master!$H$3:$H$532,"captured")</f>
        <v>0</v>
      </c>
      <c r="S15" s="10">
        <f>SUMIFS(Master!$F$3:$F$532,Master!$C$3:$C$532,S$2,Master!$E$3:$E$532,"&gt;="&amp;$A15,Master!$E$3:$E$532,"&lt;"&amp;($A15+1),Master!$H$3:$H$532,"captured")</f>
        <v>0</v>
      </c>
      <c r="T15" s="10">
        <f>SUMIFS(Master!$F$3:$F$532,Master!$C$3:$C$532,T$2,Master!$E$3:$E$532,"&gt;="&amp;$A15,Master!$E$3:$E$532,"&lt;"&amp;($A15+1),Master!$H$3:$H$532,"captured")</f>
        <v>0</v>
      </c>
      <c r="U15" s="10">
        <f>SUMIFS(Master!$F$3:$F$532,Master!$C$3:$C$532,U$2,Master!$E$3:$E$532,"&gt;="&amp;$A15,Master!$E$3:$E$532,"&lt;"&amp;($A15+1),Master!$H$3:$H$532,"captured")</f>
        <v>0</v>
      </c>
      <c r="V15" s="10">
        <f>SUMIFS(Master!$F$3:$F$532,Master!$C$3:$C$532,V$2,Master!$E$3:$E$532,"&gt;="&amp;$A15,Master!$E$3:$E$532,"&lt;"&amp;($A15+1),Master!$H$3:$H$532,"captured")</f>
        <v>0</v>
      </c>
      <c r="W15" s="10">
        <f>SUMIFS(Master!$F$3:$F$532,Master!$C$3:$C$532,W$2,Master!$E$3:$E$532,"&gt;="&amp;$A15,Master!$E$3:$E$532,"&lt;"&amp;($A15+1),Master!$H$3:$H$532,"captured")</f>
        <v>4999</v>
      </c>
      <c r="X15" s="10">
        <f>SUMIFS(Master!$F$3:$F$532,Master!$C$3:$C$532,X$2,Master!$E$3:$E$532,"&gt;="&amp;$A15,Master!$E$3:$E$532,"&lt;"&amp;($A15+1),Master!$H$3:$H$532,"captured")</f>
        <v>0</v>
      </c>
      <c r="Y15" s="10">
        <f>SUMIFS(Master!$F$3:$F$532,Master!$C$3:$C$532,Y$2,Master!$E$3:$E$532,"&gt;="&amp;$A15,Master!$E$3:$E$532,"&lt;"&amp;($A15+1),Master!$H$3:$H$532,"captured")</f>
        <v>0</v>
      </c>
      <c r="Z15" s="10">
        <f>SUMIFS(Master!$F$3:$F$532,Master!$C$3:$C$532,Z$2,Master!$E$3:$E$532,"&gt;="&amp;$A15,Master!$E$3:$E$532,"&lt;"&amp;($A15+1),Master!$H$3:$H$532,"captured")</f>
        <v>49</v>
      </c>
      <c r="AA15" s="10">
        <f>SUMIFS(Master!$F$3:$F$532,Master!$C$3:$C$532,AA$2,Master!$E$3:$E$532,"&gt;="&amp;$A15,Master!$E$3:$E$532,"&lt;"&amp;($A15+1),Master!$H$3:$H$532,"captured")</f>
        <v>0</v>
      </c>
      <c r="AB15" s="10">
        <f>SUMIFS(Master!$F$3:$F$532,Master!$C$3:$C$532,AB$2,Master!$E$3:$E$532,"&gt;="&amp;$A15,Master!$E$3:$E$532,"&lt;"&amp;($A15+1),Master!$H$3:$H$532,"captured")</f>
        <v>0</v>
      </c>
      <c r="AC15" s="10">
        <f>SUMIFS(Master!$F$3:$F$532,Master!$C$3:$C$532,AC$2,Master!$E$3:$E$532,"&gt;="&amp;$A15,Master!$E$3:$E$532,"&lt;"&amp;($A15+1),Master!$H$3:$H$532,"captured")</f>
        <v>0</v>
      </c>
      <c r="AD15" s="10">
        <f>SUMIFS(Master!$F$3:$F$532,Master!$C$3:$C$532,AD$2,Master!$E$3:$E$532,"&gt;="&amp;$A15,Master!$E$3:$E$532,"&lt;"&amp;($A15+1),Master!$H$3:$H$532,"captured")</f>
        <v>0</v>
      </c>
      <c r="AE15" s="10">
        <f>SUMIFS(Master!$F$3:$F$532,Master!$C$3:$C$532,AE$2,Master!$E$3:$E$532,"&gt;="&amp;$A15,Master!$E$3:$E$532,"&lt;"&amp;($A15+1),Master!$H$3:$H$532,"captured")</f>
        <v>1499</v>
      </c>
      <c r="AF15" s="10">
        <f>SUMIFS(Master!$F$3:$F$532,Master!$C$3:$C$532,AF$2,Master!$E$3:$E$532,"&gt;="&amp;$A15,Master!$E$3:$E$532,"&lt;"&amp;($A15+1),Master!$H$3:$H$532,"captured")</f>
        <v>0</v>
      </c>
      <c r="AG15" s="10">
        <f>SUMIFS(Master!$F$3:$F$532,Master!$C$3:$C$532,AG$2,Master!$E$3:$E$532,"&gt;="&amp;$A15,Master!$E$3:$E$532,"&lt;"&amp;($A15+1),Master!$H$3:$H$532,"captured")</f>
        <v>0</v>
      </c>
      <c r="AH15" s="10">
        <f>SUMIFS(Master!$F$3:$F$532,Master!$C$3:$C$532,AH$2,Master!$E$3:$E$532,"&gt;="&amp;$A15,Master!$E$3:$E$532,"&lt;"&amp;($A15+1),Master!$H$3:$H$532,"captured")</f>
        <v>0</v>
      </c>
      <c r="AI15" s="10">
        <f>SUMIFS(Master!$F$3:$F$532,Master!$C$3:$C$532,AI$2,Master!$E$3:$E$532,"&gt;="&amp;$A15,Master!$E$3:$E$532,"&lt;"&amp;($A15+1),Master!$H$3:$H$532,"captured")</f>
        <v>0</v>
      </c>
      <c r="AJ15" s="10">
        <f>SUMIFS(Master!$F$3:$F$532,Master!$C$3:$C$532,AJ$2,Master!$E$3:$E$532,"&gt;="&amp;$A15,Master!$E$3:$E$532,"&lt;"&amp;($A15+1),Master!$H$3:$H$532,"captured")</f>
        <v>149</v>
      </c>
      <c r="AK15" s="10">
        <f>SUMIFS(Master!$F$3:$F$532,Master!$C$3:$C$532,AK$2,Master!$E$3:$E$532,"&gt;="&amp;$A15,Master!$E$3:$E$532,"&lt;"&amp;($A15+1),Master!$H$3:$H$532,"captured")</f>
        <v>0</v>
      </c>
      <c r="AL15" s="10">
        <f>SUMIFS(Master!$F$3:$F$532,Master!$C$3:$C$532,AL$2,Master!$E$3:$E$532,"&gt;="&amp;$A15,Master!$E$3:$E$532,"&lt;"&amp;($A15+1),Master!$H$3:$H$532,"captured")</f>
        <v>0</v>
      </c>
      <c r="AM15" s="10">
        <f>SUMIFS(Master!$F$3:$F$532,Master!$C$3:$C$532,AM$2,Master!$E$3:$E$532,"&gt;="&amp;$A15,Master!$E$3:$E$532,"&lt;"&amp;($A15+1),Master!$H$3:$H$532,"captured")</f>
        <v>0</v>
      </c>
      <c r="AN15" s="10">
        <f>SUMIFS(Master!$F$3:$F$532,Master!$C$3:$C$532,AN$2,Master!$E$3:$E$532,"&gt;="&amp;$A15,Master!$E$3:$E$532,"&lt;"&amp;($A15+1),Master!$H$3:$H$532,"captured")</f>
        <v>0</v>
      </c>
      <c r="AO15" s="10">
        <f>SUMIFS(Master!$F$3:$F$532,Master!$C$3:$C$532,AO$2,Master!$E$3:$E$532,"&gt;="&amp;$A15,Master!$E$3:$E$532,"&lt;"&amp;($A15+1),Master!$H$3:$H$532,"captured")</f>
        <v>299</v>
      </c>
    </row>
    <row r="16" spans="1:41" x14ac:dyDescent="0.25">
      <c r="A16" s="9">
        <v>46036</v>
      </c>
      <c r="B16" s="10">
        <f>SUMIFS(Master!$F$3:$F$532,Master!$C$3:$C$532,B$2,Master!$E$3:$E$532,"&gt;="&amp;$A16,Master!$E$3:$E$532,"&lt;"&amp;($A16+1),Master!$H$3:$H$532,"captured")</f>
        <v>0</v>
      </c>
      <c r="C16" s="10">
        <f>SUMIFS(Master!$F$3:$F$532,Master!$C$3:$C$532,C$2,Master!$E$3:$E$532,"&gt;="&amp;$A16,Master!$E$3:$E$532,"&lt;"&amp;($A16+1),Master!$H$3:$H$532,"captured")</f>
        <v>0</v>
      </c>
      <c r="D16" s="10">
        <f>SUMIFS(Master!$F$3:$F$532,Master!$C$3:$C$532,D$2,Master!$E$3:$E$532,"&gt;="&amp;$A16,Master!$E$3:$E$532,"&lt;"&amp;($A16+1),Master!$H$3:$H$532,"captured")</f>
        <v>0</v>
      </c>
      <c r="E16" s="10">
        <f>SUMIFS(Master!$F$3:$F$532,Master!$C$3:$C$532,E$2,Master!$E$3:$E$532,"&gt;="&amp;$A16,Master!$E$3:$E$532,"&lt;"&amp;($A16+1),Master!$H$3:$H$532,"captured")</f>
        <v>0</v>
      </c>
      <c r="F16" s="10">
        <f>SUMIFS(Master!$F$3:$F$532,Master!$C$3:$C$532,F$2,Master!$E$3:$E$532,"&gt;="&amp;$A16,Master!$E$3:$E$532,"&lt;"&amp;($A16+1),Master!$H$3:$H$532,"captured")</f>
        <v>0</v>
      </c>
      <c r="G16" s="10">
        <f>SUMIFS(Master!$F$3:$F$532,Master!$C$3:$C$532,G$2,Master!$E$3:$E$532,"&gt;="&amp;$A16,Master!$E$3:$E$532,"&lt;"&amp;($A16+1),Master!$H$3:$H$532,"captured")</f>
        <v>0</v>
      </c>
      <c r="H16" s="10">
        <f>SUMIFS(Master!$F$3:$F$532,Master!$C$3:$C$532,H$2,Master!$E$3:$E$532,"&gt;="&amp;$A16,Master!$E$3:$E$532,"&lt;"&amp;($A16+1),Master!$H$3:$H$532,"captured")</f>
        <v>0</v>
      </c>
      <c r="I16" s="10">
        <f>SUMIFS(Master!$F$3:$F$532,Master!$C$3:$C$532,I$2,Master!$E$3:$E$532,"&gt;="&amp;$A16,Master!$E$3:$E$532,"&lt;"&amp;($A16+1),Master!$H$3:$H$532,"captured")</f>
        <v>0</v>
      </c>
      <c r="J16" s="10">
        <f>SUMIFS(Master!$F$3:$F$532,Master!$C$3:$C$532,J$2,Master!$E$3:$E$532,"&gt;="&amp;$A16,Master!$E$3:$E$532,"&lt;"&amp;($A16+1),Master!$H$3:$H$532,"captured")</f>
        <v>0</v>
      </c>
      <c r="K16" s="10">
        <f>SUMIFS(Master!$F$3:$F$532,Master!$C$3:$C$532,K$2,Master!$E$3:$E$532,"&gt;="&amp;$A16,Master!$E$3:$E$532,"&lt;"&amp;($A16+1),Master!$H$3:$H$532,"captured")</f>
        <v>499</v>
      </c>
      <c r="L16" s="10">
        <f>SUMIFS(Master!$F$3:$F$532,Master!$C$3:$C$532,L$2,Master!$E$3:$E$532,"&gt;="&amp;$A16,Master!$E$3:$E$532,"&lt;"&amp;($A16+1),Master!$H$3:$H$532,"captured")</f>
        <v>0</v>
      </c>
      <c r="M16" s="10">
        <f>SUMIFS(Master!$F$3:$F$532,Master!$C$3:$C$532,M$2,Master!$E$3:$E$532,"&gt;="&amp;$A16,Master!$E$3:$E$532,"&lt;"&amp;($A16+1),Master!$H$3:$H$532,"captured")</f>
        <v>49</v>
      </c>
      <c r="N16" s="10">
        <f>SUMIFS(Master!$F$3:$F$532,Master!$C$3:$C$532,N$2,Master!$E$3:$E$532,"&gt;="&amp;$A16,Master!$E$3:$E$532,"&lt;"&amp;($A16+1),Master!$H$3:$H$532,"captured")</f>
        <v>1499</v>
      </c>
      <c r="O16" s="10">
        <f>SUMIFS(Master!$F$3:$F$532,Master!$C$3:$C$532,O$2,Master!$E$3:$E$532,"&gt;="&amp;$A16,Master!$E$3:$E$532,"&lt;"&amp;($A16+1),Master!$H$3:$H$532,"captured")</f>
        <v>0</v>
      </c>
      <c r="P16" s="10">
        <f>SUMIFS(Master!$F$3:$F$532,Master!$C$3:$C$532,P$2,Master!$E$3:$E$532,"&gt;="&amp;$A16,Master!$E$3:$E$532,"&lt;"&amp;($A16+1),Master!$H$3:$H$532,"captured")</f>
        <v>0</v>
      </c>
      <c r="Q16" s="10">
        <f>SUMIFS(Master!$F$3:$F$532,Master!$C$3:$C$532,Q$2,Master!$E$3:$E$532,"&gt;="&amp;$A16,Master!$E$3:$E$532,"&lt;"&amp;($A16+1),Master!$H$3:$H$532,"captured")</f>
        <v>0</v>
      </c>
      <c r="R16" s="10">
        <f>SUMIFS(Master!$F$3:$F$532,Master!$C$3:$C$532,R$2,Master!$E$3:$E$532,"&gt;="&amp;$A16,Master!$E$3:$E$532,"&lt;"&amp;($A16+1),Master!$H$3:$H$532,"captured")</f>
        <v>0</v>
      </c>
      <c r="S16" s="10">
        <f>SUMIFS(Master!$F$3:$F$532,Master!$C$3:$C$532,S$2,Master!$E$3:$E$532,"&gt;="&amp;$A16,Master!$E$3:$E$532,"&lt;"&amp;($A16+1),Master!$H$3:$H$532,"captured")</f>
        <v>149</v>
      </c>
      <c r="T16" s="10">
        <f>SUMIFS(Master!$F$3:$F$532,Master!$C$3:$C$532,T$2,Master!$E$3:$E$532,"&gt;="&amp;$A16,Master!$E$3:$E$532,"&lt;"&amp;($A16+1),Master!$H$3:$H$532,"captured")</f>
        <v>0</v>
      </c>
      <c r="U16" s="10">
        <f>SUMIFS(Master!$F$3:$F$532,Master!$C$3:$C$532,U$2,Master!$E$3:$E$532,"&gt;="&amp;$A16,Master!$E$3:$E$532,"&lt;"&amp;($A16+1),Master!$H$3:$H$532,"captured")</f>
        <v>0</v>
      </c>
      <c r="V16" s="10">
        <f>SUMIFS(Master!$F$3:$F$532,Master!$C$3:$C$532,V$2,Master!$E$3:$E$532,"&gt;="&amp;$A16,Master!$E$3:$E$532,"&lt;"&amp;($A16+1),Master!$H$3:$H$532,"captured")</f>
        <v>49</v>
      </c>
      <c r="W16" s="10">
        <f>SUMIFS(Master!$F$3:$F$532,Master!$C$3:$C$532,W$2,Master!$E$3:$E$532,"&gt;="&amp;$A16,Master!$E$3:$E$532,"&lt;"&amp;($A16+1),Master!$H$3:$H$532,"captured")</f>
        <v>799</v>
      </c>
      <c r="X16" s="10">
        <f>SUMIFS(Master!$F$3:$F$532,Master!$C$3:$C$532,X$2,Master!$E$3:$E$532,"&gt;="&amp;$A16,Master!$E$3:$E$532,"&lt;"&amp;($A16+1),Master!$H$3:$H$532,"captured")</f>
        <v>0</v>
      </c>
      <c r="Y16" s="10">
        <f>SUMIFS(Master!$F$3:$F$532,Master!$C$3:$C$532,Y$2,Master!$E$3:$E$532,"&gt;="&amp;$A16,Master!$E$3:$E$532,"&lt;"&amp;($A16+1),Master!$H$3:$H$532,"captured")</f>
        <v>499</v>
      </c>
      <c r="Z16" s="10">
        <f>SUMIFS(Master!$F$3:$F$532,Master!$C$3:$C$532,Z$2,Master!$E$3:$E$532,"&gt;="&amp;$A16,Master!$E$3:$E$532,"&lt;"&amp;($A16+1),Master!$H$3:$H$532,"captured")</f>
        <v>149</v>
      </c>
      <c r="AA16" s="10">
        <f>SUMIFS(Master!$F$3:$F$532,Master!$C$3:$C$532,AA$2,Master!$E$3:$E$532,"&gt;="&amp;$A16,Master!$E$3:$E$532,"&lt;"&amp;($A16+1),Master!$H$3:$H$532,"captured")</f>
        <v>0</v>
      </c>
      <c r="AB16" s="10">
        <f>SUMIFS(Master!$F$3:$F$532,Master!$C$3:$C$532,AB$2,Master!$E$3:$E$532,"&gt;="&amp;$A16,Master!$E$3:$E$532,"&lt;"&amp;($A16+1),Master!$H$3:$H$532,"captured")</f>
        <v>149</v>
      </c>
      <c r="AC16" s="10">
        <f>SUMIFS(Master!$F$3:$F$532,Master!$C$3:$C$532,AC$2,Master!$E$3:$E$532,"&gt;="&amp;$A16,Master!$E$3:$E$532,"&lt;"&amp;($A16+1),Master!$H$3:$H$532,"captured")</f>
        <v>49</v>
      </c>
      <c r="AD16" s="10">
        <f>SUMIFS(Master!$F$3:$F$532,Master!$C$3:$C$532,AD$2,Master!$E$3:$E$532,"&gt;="&amp;$A16,Master!$E$3:$E$532,"&lt;"&amp;($A16+1),Master!$H$3:$H$532,"captured")</f>
        <v>1998</v>
      </c>
      <c r="AE16" s="10">
        <f>SUMIFS(Master!$F$3:$F$532,Master!$C$3:$C$532,AE$2,Master!$E$3:$E$532,"&gt;="&amp;$A16,Master!$E$3:$E$532,"&lt;"&amp;($A16+1),Master!$H$3:$H$532,"captured")</f>
        <v>2497</v>
      </c>
      <c r="AF16" s="10">
        <f>SUMIFS(Master!$F$3:$F$532,Master!$C$3:$C$532,AF$2,Master!$E$3:$E$532,"&gt;="&amp;$A16,Master!$E$3:$E$532,"&lt;"&amp;($A16+1),Master!$H$3:$H$532,"captured")</f>
        <v>499</v>
      </c>
      <c r="AG16" s="10">
        <f>SUMIFS(Master!$F$3:$F$532,Master!$C$3:$C$532,AG$2,Master!$E$3:$E$532,"&gt;="&amp;$A16,Master!$E$3:$E$532,"&lt;"&amp;($A16+1),Master!$H$3:$H$532,"captured")</f>
        <v>0</v>
      </c>
      <c r="AH16" s="10">
        <f>SUMIFS(Master!$F$3:$F$532,Master!$C$3:$C$532,AH$2,Master!$E$3:$E$532,"&gt;="&amp;$A16,Master!$E$3:$E$532,"&lt;"&amp;($A16+1),Master!$H$3:$H$532,"captured")</f>
        <v>0</v>
      </c>
      <c r="AI16" s="10">
        <f>SUMIFS(Master!$F$3:$F$532,Master!$C$3:$C$532,AI$2,Master!$E$3:$E$532,"&gt;="&amp;$A16,Master!$E$3:$E$532,"&lt;"&amp;($A16+1),Master!$H$3:$H$532,"captured")</f>
        <v>0</v>
      </c>
      <c r="AJ16" s="10">
        <f>SUMIFS(Master!$F$3:$F$532,Master!$C$3:$C$532,AJ$2,Master!$E$3:$E$532,"&gt;="&amp;$A16,Master!$E$3:$E$532,"&lt;"&amp;($A16+1),Master!$H$3:$H$532,"captured")</f>
        <v>0</v>
      </c>
      <c r="AK16" s="10">
        <f>SUMIFS(Master!$F$3:$F$532,Master!$C$3:$C$532,AK$2,Master!$E$3:$E$532,"&gt;="&amp;$A16,Master!$E$3:$E$532,"&lt;"&amp;($A16+1),Master!$H$3:$H$532,"captured")</f>
        <v>0</v>
      </c>
      <c r="AL16" s="10">
        <f>SUMIFS(Master!$F$3:$F$532,Master!$C$3:$C$532,AL$2,Master!$E$3:$E$532,"&gt;="&amp;$A16,Master!$E$3:$E$532,"&lt;"&amp;($A16+1),Master!$H$3:$H$532,"captured")</f>
        <v>0</v>
      </c>
      <c r="AM16" s="10">
        <f>SUMIFS(Master!$F$3:$F$532,Master!$C$3:$C$532,AM$2,Master!$E$3:$E$532,"&gt;="&amp;$A16,Master!$E$3:$E$532,"&lt;"&amp;($A16+1),Master!$H$3:$H$532,"captured")</f>
        <v>0</v>
      </c>
      <c r="AN16" s="10">
        <f>SUMIFS(Master!$F$3:$F$532,Master!$C$3:$C$532,AN$2,Master!$E$3:$E$532,"&gt;="&amp;$A16,Master!$E$3:$E$532,"&lt;"&amp;($A16+1),Master!$H$3:$H$532,"captured")</f>
        <v>0</v>
      </c>
      <c r="AO16" s="10">
        <f>SUMIFS(Master!$F$3:$F$532,Master!$C$3:$C$532,AO$2,Master!$E$3:$E$532,"&gt;="&amp;$A16,Master!$E$3:$E$532,"&lt;"&amp;($A16+1),Master!$H$3:$H$532,"captured")</f>
        <v>99</v>
      </c>
    </row>
    <row r="17" spans="1:41" x14ac:dyDescent="0.25">
      <c r="A17" s="9">
        <v>46037</v>
      </c>
      <c r="B17" s="10">
        <f>SUMIFS(Master!$F$3:$F$532,Master!$C$3:$C$532,B$2,Master!$E$3:$E$532,"&gt;="&amp;$A17,Master!$E$3:$E$532,"&lt;"&amp;($A17+1),Master!$H$3:$H$532,"captured")</f>
        <v>0</v>
      </c>
      <c r="C17" s="10">
        <f>SUMIFS(Master!$F$3:$F$532,Master!$C$3:$C$532,C$2,Master!$E$3:$E$532,"&gt;="&amp;$A17,Master!$E$3:$E$532,"&lt;"&amp;($A17+1),Master!$H$3:$H$532,"captured")</f>
        <v>0</v>
      </c>
      <c r="D17" s="10">
        <f>SUMIFS(Master!$F$3:$F$532,Master!$C$3:$C$532,D$2,Master!$E$3:$E$532,"&gt;="&amp;$A17,Master!$E$3:$E$532,"&lt;"&amp;($A17+1),Master!$H$3:$H$532,"captured")</f>
        <v>0</v>
      </c>
      <c r="E17" s="10">
        <f>SUMIFS(Master!$F$3:$F$532,Master!$C$3:$C$532,E$2,Master!$E$3:$E$532,"&gt;="&amp;$A17,Master!$E$3:$E$532,"&lt;"&amp;($A17+1),Master!$H$3:$H$532,"captured")</f>
        <v>0</v>
      </c>
      <c r="F17" s="10">
        <f>SUMIFS(Master!$F$3:$F$532,Master!$C$3:$C$532,F$2,Master!$E$3:$E$532,"&gt;="&amp;$A17,Master!$E$3:$E$532,"&lt;"&amp;($A17+1),Master!$H$3:$H$532,"captured")</f>
        <v>548</v>
      </c>
      <c r="G17" s="10">
        <f>SUMIFS(Master!$F$3:$F$532,Master!$C$3:$C$532,G$2,Master!$E$3:$E$532,"&gt;="&amp;$A17,Master!$E$3:$E$532,"&lt;"&amp;($A17+1),Master!$H$3:$H$532,"captured")</f>
        <v>49</v>
      </c>
      <c r="H17" s="10">
        <f>SUMIFS(Master!$F$3:$F$532,Master!$C$3:$C$532,H$2,Master!$E$3:$E$532,"&gt;="&amp;$A17,Master!$E$3:$E$532,"&lt;"&amp;($A17+1),Master!$H$3:$H$532,"captured")</f>
        <v>149</v>
      </c>
      <c r="I17" s="10">
        <f>SUMIFS(Master!$F$3:$F$532,Master!$C$3:$C$532,I$2,Master!$E$3:$E$532,"&gt;="&amp;$A17,Master!$E$3:$E$532,"&lt;"&amp;($A17+1),Master!$H$3:$H$532,"captured")</f>
        <v>0</v>
      </c>
      <c r="J17" s="10">
        <f>SUMIFS(Master!$F$3:$F$532,Master!$C$3:$C$532,J$2,Master!$E$3:$E$532,"&gt;="&amp;$A17,Master!$E$3:$E$532,"&lt;"&amp;($A17+1),Master!$H$3:$H$532,"captured")</f>
        <v>0</v>
      </c>
      <c r="K17" s="10">
        <f>SUMIFS(Master!$F$3:$F$532,Master!$C$3:$C$532,K$2,Master!$E$3:$E$532,"&gt;="&amp;$A17,Master!$E$3:$E$532,"&lt;"&amp;($A17+1),Master!$H$3:$H$532,"captured")</f>
        <v>2999</v>
      </c>
      <c r="L17" s="10">
        <f>SUMIFS(Master!$F$3:$F$532,Master!$C$3:$C$532,L$2,Master!$E$3:$E$532,"&gt;="&amp;$A17,Master!$E$3:$E$532,"&lt;"&amp;($A17+1),Master!$H$3:$H$532,"captured")</f>
        <v>0</v>
      </c>
      <c r="M17" s="10">
        <f>SUMIFS(Master!$F$3:$F$532,Master!$C$3:$C$532,M$2,Master!$E$3:$E$532,"&gt;="&amp;$A17,Master!$E$3:$E$532,"&lt;"&amp;($A17+1),Master!$H$3:$H$532,"captured")</f>
        <v>0</v>
      </c>
      <c r="N17" s="10">
        <f>SUMIFS(Master!$F$3:$F$532,Master!$C$3:$C$532,N$2,Master!$E$3:$E$532,"&gt;="&amp;$A17,Master!$E$3:$E$532,"&lt;"&amp;($A17+1),Master!$H$3:$H$532,"captured")</f>
        <v>49</v>
      </c>
      <c r="O17" s="10">
        <f>SUMIFS(Master!$F$3:$F$532,Master!$C$3:$C$532,O$2,Master!$E$3:$E$532,"&gt;="&amp;$A17,Master!$E$3:$E$532,"&lt;"&amp;($A17+1),Master!$H$3:$H$532,"captured")</f>
        <v>0</v>
      </c>
      <c r="P17" s="10">
        <f>SUMIFS(Master!$F$3:$F$532,Master!$C$3:$C$532,P$2,Master!$E$3:$E$532,"&gt;="&amp;$A17,Master!$E$3:$E$532,"&lt;"&amp;($A17+1),Master!$H$3:$H$532,"captured")</f>
        <v>0</v>
      </c>
      <c r="Q17" s="10">
        <f>SUMIFS(Master!$F$3:$F$532,Master!$C$3:$C$532,Q$2,Master!$E$3:$E$532,"&gt;="&amp;$A17,Master!$E$3:$E$532,"&lt;"&amp;($A17+1),Master!$H$3:$H$532,"captured")</f>
        <v>2999</v>
      </c>
      <c r="R17" s="10">
        <f>SUMIFS(Master!$F$3:$F$532,Master!$C$3:$C$532,R$2,Master!$E$3:$E$532,"&gt;="&amp;$A17,Master!$E$3:$E$532,"&lt;"&amp;($A17+1),Master!$H$3:$H$532,"captured")</f>
        <v>0</v>
      </c>
      <c r="S17" s="10">
        <f>SUMIFS(Master!$F$3:$F$532,Master!$C$3:$C$532,S$2,Master!$E$3:$E$532,"&gt;="&amp;$A17,Master!$E$3:$E$532,"&lt;"&amp;($A17+1),Master!$H$3:$H$532,"captured")</f>
        <v>149</v>
      </c>
      <c r="T17" s="10">
        <f>SUMIFS(Master!$F$3:$F$532,Master!$C$3:$C$532,T$2,Master!$E$3:$E$532,"&gt;="&amp;$A17,Master!$E$3:$E$532,"&lt;"&amp;($A17+1),Master!$H$3:$H$532,"captured")</f>
        <v>299</v>
      </c>
      <c r="U17" s="10">
        <f>SUMIFS(Master!$F$3:$F$532,Master!$C$3:$C$532,U$2,Master!$E$3:$E$532,"&gt;="&amp;$A17,Master!$E$3:$E$532,"&lt;"&amp;($A17+1),Master!$H$3:$H$532,"captured")</f>
        <v>0</v>
      </c>
      <c r="V17" s="10">
        <f>SUMIFS(Master!$F$3:$F$532,Master!$C$3:$C$532,V$2,Master!$E$3:$E$532,"&gt;="&amp;$A17,Master!$E$3:$E$532,"&lt;"&amp;($A17+1),Master!$H$3:$H$532,"captured")</f>
        <v>299</v>
      </c>
      <c r="W17" s="10">
        <f>SUMIFS(Master!$F$3:$F$532,Master!$C$3:$C$532,W$2,Master!$E$3:$E$532,"&gt;="&amp;$A17,Master!$E$3:$E$532,"&lt;"&amp;($A17+1),Master!$H$3:$H$532,"captured")</f>
        <v>0</v>
      </c>
      <c r="X17" s="10">
        <f>SUMIFS(Master!$F$3:$F$532,Master!$C$3:$C$532,X$2,Master!$E$3:$E$532,"&gt;="&amp;$A17,Master!$E$3:$E$532,"&lt;"&amp;($A17+1),Master!$H$3:$H$532,"captured")</f>
        <v>0</v>
      </c>
      <c r="Y17" s="10">
        <f>SUMIFS(Master!$F$3:$F$532,Master!$C$3:$C$532,Y$2,Master!$E$3:$E$532,"&gt;="&amp;$A17,Master!$E$3:$E$532,"&lt;"&amp;($A17+1),Master!$H$3:$H$532,"captured")</f>
        <v>0</v>
      </c>
      <c r="Z17" s="10">
        <f>SUMIFS(Master!$F$3:$F$532,Master!$C$3:$C$532,Z$2,Master!$E$3:$E$532,"&gt;="&amp;$A17,Master!$E$3:$E$532,"&lt;"&amp;($A17+1),Master!$H$3:$H$532,"captured")</f>
        <v>49</v>
      </c>
      <c r="AA17" s="10">
        <f>SUMIFS(Master!$F$3:$F$532,Master!$C$3:$C$532,AA$2,Master!$E$3:$E$532,"&gt;="&amp;$A17,Master!$E$3:$E$532,"&lt;"&amp;($A17+1),Master!$H$3:$H$532,"captured")</f>
        <v>0</v>
      </c>
      <c r="AB17" s="10">
        <f>SUMIFS(Master!$F$3:$F$532,Master!$C$3:$C$532,AB$2,Master!$E$3:$E$532,"&gt;="&amp;$A17,Master!$E$3:$E$532,"&lt;"&amp;($A17+1),Master!$H$3:$H$532,"captured")</f>
        <v>0</v>
      </c>
      <c r="AC17" s="10">
        <f>SUMIFS(Master!$F$3:$F$532,Master!$C$3:$C$532,AC$2,Master!$E$3:$E$532,"&gt;="&amp;$A17,Master!$E$3:$E$532,"&lt;"&amp;($A17+1),Master!$H$3:$H$532,"captured")</f>
        <v>2999</v>
      </c>
      <c r="AD17" s="10">
        <f>SUMIFS(Master!$F$3:$F$532,Master!$C$3:$C$532,AD$2,Master!$E$3:$E$532,"&gt;="&amp;$A17,Master!$E$3:$E$532,"&lt;"&amp;($A17+1),Master!$H$3:$H$532,"captured")</f>
        <v>1098</v>
      </c>
      <c r="AE17" s="10">
        <f>SUMIFS(Master!$F$3:$F$532,Master!$C$3:$C$532,AE$2,Master!$E$3:$E$532,"&gt;="&amp;$A17,Master!$E$3:$E$532,"&lt;"&amp;($A17+1),Master!$H$3:$H$532,"captured")</f>
        <v>49</v>
      </c>
      <c r="AF17" s="10">
        <f>SUMIFS(Master!$F$3:$F$532,Master!$C$3:$C$532,AF$2,Master!$E$3:$E$532,"&gt;="&amp;$A17,Master!$E$3:$E$532,"&lt;"&amp;($A17+1),Master!$H$3:$H$532,"captured")</f>
        <v>0</v>
      </c>
      <c r="AG17" s="10">
        <f>SUMIFS(Master!$F$3:$F$532,Master!$C$3:$C$532,AG$2,Master!$E$3:$E$532,"&gt;="&amp;$A17,Master!$E$3:$E$532,"&lt;"&amp;($A17+1),Master!$H$3:$H$532,"captured")</f>
        <v>99</v>
      </c>
      <c r="AH17" s="10">
        <f>SUMIFS(Master!$F$3:$F$532,Master!$C$3:$C$532,AH$2,Master!$E$3:$E$532,"&gt;="&amp;$A17,Master!$E$3:$E$532,"&lt;"&amp;($A17+1),Master!$H$3:$H$532,"captured")</f>
        <v>799</v>
      </c>
      <c r="AI17" s="10">
        <f>SUMIFS(Master!$F$3:$F$532,Master!$C$3:$C$532,AI$2,Master!$E$3:$E$532,"&gt;="&amp;$A17,Master!$E$3:$E$532,"&lt;"&amp;($A17+1),Master!$H$3:$H$532,"captured")</f>
        <v>0</v>
      </c>
      <c r="AJ17" s="10">
        <f>SUMIFS(Master!$F$3:$F$532,Master!$C$3:$C$532,AJ$2,Master!$E$3:$E$532,"&gt;="&amp;$A17,Master!$E$3:$E$532,"&lt;"&amp;($A17+1),Master!$H$3:$H$532,"captured")</f>
        <v>0</v>
      </c>
      <c r="AK17" s="10">
        <f>SUMIFS(Master!$F$3:$F$532,Master!$C$3:$C$532,AK$2,Master!$E$3:$E$532,"&gt;="&amp;$A17,Master!$E$3:$E$532,"&lt;"&amp;($A17+1),Master!$H$3:$H$532,"captured")</f>
        <v>0</v>
      </c>
      <c r="AL17" s="10">
        <f>SUMIFS(Master!$F$3:$F$532,Master!$C$3:$C$532,AL$2,Master!$E$3:$E$532,"&gt;="&amp;$A17,Master!$E$3:$E$532,"&lt;"&amp;($A17+1),Master!$H$3:$H$532,"captured")</f>
        <v>0</v>
      </c>
      <c r="AM17" s="10">
        <f>SUMIFS(Master!$F$3:$F$532,Master!$C$3:$C$532,AM$2,Master!$E$3:$E$532,"&gt;="&amp;$A17,Master!$E$3:$E$532,"&lt;"&amp;($A17+1),Master!$H$3:$H$532,"captured")</f>
        <v>499</v>
      </c>
      <c r="AN17" s="10">
        <f>SUMIFS(Master!$F$3:$F$532,Master!$C$3:$C$532,AN$2,Master!$E$3:$E$532,"&gt;="&amp;$A17,Master!$E$3:$E$532,"&lt;"&amp;($A17+1),Master!$H$3:$H$532,"captured")</f>
        <v>0</v>
      </c>
      <c r="AO17" s="10">
        <f>SUMIFS(Master!$F$3:$F$532,Master!$C$3:$C$532,AO$2,Master!$E$3:$E$532,"&gt;="&amp;$A17,Master!$E$3:$E$532,"&lt;"&amp;($A17+1),Master!$H$3:$H$532,"captured")</f>
        <v>149</v>
      </c>
    </row>
    <row r="18" spans="1:41" x14ac:dyDescent="0.25">
      <c r="A18" s="9">
        <v>46038</v>
      </c>
      <c r="B18" s="10">
        <f>SUMIFS(Master!$F$3:$F$532,Master!$C$3:$C$532,B$2,Master!$E$3:$E$532,"&gt;="&amp;$A18,Master!$E$3:$E$532,"&lt;"&amp;($A18+1),Master!$H$3:$H$532,"captured")</f>
        <v>0</v>
      </c>
      <c r="C18" s="10">
        <f>SUMIFS(Master!$F$3:$F$532,Master!$C$3:$C$532,C$2,Master!$E$3:$E$532,"&gt;="&amp;$A18,Master!$E$3:$E$532,"&lt;"&amp;($A18+1),Master!$H$3:$H$532,"captured")</f>
        <v>0</v>
      </c>
      <c r="D18" s="10">
        <f>SUMIFS(Master!$F$3:$F$532,Master!$C$3:$C$532,D$2,Master!$E$3:$E$532,"&gt;="&amp;$A18,Master!$E$3:$E$532,"&lt;"&amp;($A18+1),Master!$H$3:$H$532,"captured")</f>
        <v>0</v>
      </c>
      <c r="E18" s="10">
        <f>SUMIFS(Master!$F$3:$F$532,Master!$C$3:$C$532,E$2,Master!$E$3:$E$532,"&gt;="&amp;$A18,Master!$E$3:$E$532,"&lt;"&amp;($A18+1),Master!$H$3:$H$532,"captured")</f>
        <v>799</v>
      </c>
      <c r="F18" s="10">
        <f>SUMIFS(Master!$F$3:$F$532,Master!$C$3:$C$532,F$2,Master!$E$3:$E$532,"&gt;="&amp;$A18,Master!$E$3:$E$532,"&lt;"&amp;($A18+1),Master!$H$3:$H$532,"captured")</f>
        <v>0</v>
      </c>
      <c r="G18" s="10">
        <f>SUMIFS(Master!$F$3:$F$532,Master!$C$3:$C$532,G$2,Master!$E$3:$E$532,"&gt;="&amp;$A18,Master!$E$3:$E$532,"&lt;"&amp;($A18+1),Master!$H$3:$H$532,"captured")</f>
        <v>0</v>
      </c>
      <c r="H18" s="10">
        <f>SUMIFS(Master!$F$3:$F$532,Master!$C$3:$C$532,H$2,Master!$E$3:$E$532,"&gt;="&amp;$A18,Master!$E$3:$E$532,"&lt;"&amp;($A18+1),Master!$H$3:$H$532,"captured")</f>
        <v>0</v>
      </c>
      <c r="I18" s="10">
        <f>SUMIFS(Master!$F$3:$F$532,Master!$C$3:$C$532,I$2,Master!$E$3:$E$532,"&gt;="&amp;$A18,Master!$E$3:$E$532,"&lt;"&amp;($A18+1),Master!$H$3:$H$532,"captured")</f>
        <v>2999</v>
      </c>
      <c r="J18" s="10">
        <f>SUMIFS(Master!$F$3:$F$532,Master!$C$3:$C$532,J$2,Master!$E$3:$E$532,"&gt;="&amp;$A18,Master!$E$3:$E$532,"&lt;"&amp;($A18+1),Master!$H$3:$H$532,"captured")</f>
        <v>0</v>
      </c>
      <c r="K18" s="10">
        <f>SUMIFS(Master!$F$3:$F$532,Master!$C$3:$C$532,K$2,Master!$E$3:$E$532,"&gt;="&amp;$A18,Master!$E$3:$E$532,"&lt;"&amp;($A18+1),Master!$H$3:$H$532,"captured")</f>
        <v>49</v>
      </c>
      <c r="L18" s="10">
        <f>SUMIFS(Master!$F$3:$F$532,Master!$C$3:$C$532,L$2,Master!$E$3:$E$532,"&gt;="&amp;$A18,Master!$E$3:$E$532,"&lt;"&amp;($A18+1),Master!$H$3:$H$532,"captured")</f>
        <v>0</v>
      </c>
      <c r="M18" s="10">
        <f>SUMIFS(Master!$F$3:$F$532,Master!$C$3:$C$532,M$2,Master!$E$3:$E$532,"&gt;="&amp;$A18,Master!$E$3:$E$532,"&lt;"&amp;($A18+1),Master!$H$3:$H$532,"captured")</f>
        <v>0</v>
      </c>
      <c r="N18" s="10">
        <f>SUMIFS(Master!$F$3:$F$532,Master!$C$3:$C$532,N$2,Master!$E$3:$E$532,"&gt;="&amp;$A18,Master!$E$3:$E$532,"&lt;"&amp;($A18+1),Master!$H$3:$H$532,"captured")</f>
        <v>0</v>
      </c>
      <c r="O18" s="10">
        <f>SUMIFS(Master!$F$3:$F$532,Master!$C$3:$C$532,O$2,Master!$E$3:$E$532,"&gt;="&amp;$A18,Master!$E$3:$E$532,"&lt;"&amp;($A18+1),Master!$H$3:$H$532,"captured")</f>
        <v>0</v>
      </c>
      <c r="P18" s="10">
        <f>SUMIFS(Master!$F$3:$F$532,Master!$C$3:$C$532,P$2,Master!$E$3:$E$532,"&gt;="&amp;$A18,Master!$E$3:$E$532,"&lt;"&amp;($A18+1),Master!$H$3:$H$532,"captured")</f>
        <v>0</v>
      </c>
      <c r="Q18" s="10">
        <f>SUMIFS(Master!$F$3:$F$532,Master!$C$3:$C$532,Q$2,Master!$E$3:$E$532,"&gt;="&amp;$A18,Master!$E$3:$E$532,"&lt;"&amp;($A18+1),Master!$H$3:$H$532,"captured")</f>
        <v>0</v>
      </c>
      <c r="R18" s="10">
        <f>SUMIFS(Master!$F$3:$F$532,Master!$C$3:$C$532,R$2,Master!$E$3:$E$532,"&gt;="&amp;$A18,Master!$E$3:$E$532,"&lt;"&amp;($A18+1),Master!$H$3:$H$532,"captured")</f>
        <v>0</v>
      </c>
      <c r="S18" s="10">
        <f>SUMIFS(Master!$F$3:$F$532,Master!$C$3:$C$532,S$2,Master!$E$3:$E$532,"&gt;="&amp;$A18,Master!$E$3:$E$532,"&lt;"&amp;($A18+1),Master!$H$3:$H$532,"captured")</f>
        <v>3248</v>
      </c>
      <c r="T18" s="10">
        <f>SUMIFS(Master!$F$3:$F$532,Master!$C$3:$C$532,T$2,Master!$E$3:$E$532,"&gt;="&amp;$A18,Master!$E$3:$E$532,"&lt;"&amp;($A18+1),Master!$H$3:$H$532,"captured")</f>
        <v>0</v>
      </c>
      <c r="U18" s="10">
        <f>SUMIFS(Master!$F$3:$F$532,Master!$C$3:$C$532,U$2,Master!$E$3:$E$532,"&gt;="&amp;$A18,Master!$E$3:$E$532,"&lt;"&amp;($A18+1),Master!$H$3:$H$532,"captured")</f>
        <v>0</v>
      </c>
      <c r="V18" s="10">
        <f>SUMIFS(Master!$F$3:$F$532,Master!$C$3:$C$532,V$2,Master!$E$3:$E$532,"&gt;="&amp;$A18,Master!$E$3:$E$532,"&lt;"&amp;($A18+1),Master!$H$3:$H$532,"captured")</f>
        <v>799</v>
      </c>
      <c r="W18" s="10">
        <f>SUMIFS(Master!$F$3:$F$532,Master!$C$3:$C$532,W$2,Master!$E$3:$E$532,"&gt;="&amp;$A18,Master!$E$3:$E$532,"&lt;"&amp;($A18+1),Master!$H$3:$H$532,"captured")</f>
        <v>0</v>
      </c>
      <c r="X18" s="10">
        <f>SUMIFS(Master!$F$3:$F$532,Master!$C$3:$C$532,X$2,Master!$E$3:$E$532,"&gt;="&amp;$A18,Master!$E$3:$E$532,"&lt;"&amp;($A18+1),Master!$H$3:$H$532,"captured")</f>
        <v>0</v>
      </c>
      <c r="Y18" s="10">
        <f>SUMIFS(Master!$F$3:$F$532,Master!$C$3:$C$532,Y$2,Master!$E$3:$E$532,"&gt;="&amp;$A18,Master!$E$3:$E$532,"&lt;"&amp;($A18+1),Master!$H$3:$H$532,"captured")</f>
        <v>0</v>
      </c>
      <c r="Z18" s="10">
        <f>SUMIFS(Master!$F$3:$F$532,Master!$C$3:$C$532,Z$2,Master!$E$3:$E$532,"&gt;="&amp;$A18,Master!$E$3:$E$532,"&lt;"&amp;($A18+1),Master!$H$3:$H$532,"captured")</f>
        <v>799</v>
      </c>
      <c r="AA18" s="10">
        <f>SUMIFS(Master!$F$3:$F$532,Master!$C$3:$C$532,AA$2,Master!$E$3:$E$532,"&gt;="&amp;$A18,Master!$E$3:$E$532,"&lt;"&amp;($A18+1),Master!$H$3:$H$532,"captured")</f>
        <v>0</v>
      </c>
      <c r="AB18" s="10">
        <f>SUMIFS(Master!$F$3:$F$532,Master!$C$3:$C$532,AB$2,Master!$E$3:$E$532,"&gt;="&amp;$A18,Master!$E$3:$E$532,"&lt;"&amp;($A18+1),Master!$H$3:$H$532,"captured")</f>
        <v>0</v>
      </c>
      <c r="AC18" s="10">
        <f>SUMIFS(Master!$F$3:$F$532,Master!$C$3:$C$532,AC$2,Master!$E$3:$E$532,"&gt;="&amp;$A18,Master!$E$3:$E$532,"&lt;"&amp;($A18+1),Master!$H$3:$H$532,"captured")</f>
        <v>299</v>
      </c>
      <c r="AD18" s="10">
        <f>SUMIFS(Master!$F$3:$F$532,Master!$C$3:$C$532,AD$2,Master!$E$3:$E$532,"&gt;="&amp;$A18,Master!$E$3:$E$532,"&lt;"&amp;($A18+1),Master!$H$3:$H$532,"captured")</f>
        <v>0</v>
      </c>
      <c r="AE18" s="10">
        <f>SUMIFS(Master!$F$3:$F$532,Master!$C$3:$C$532,AE$2,Master!$E$3:$E$532,"&gt;="&amp;$A18,Master!$E$3:$E$532,"&lt;"&amp;($A18+1),Master!$H$3:$H$532,"captured")</f>
        <v>0</v>
      </c>
      <c r="AF18" s="10">
        <f>SUMIFS(Master!$F$3:$F$532,Master!$C$3:$C$532,AF$2,Master!$E$3:$E$532,"&gt;="&amp;$A18,Master!$E$3:$E$532,"&lt;"&amp;($A18+1),Master!$H$3:$H$532,"captured")</f>
        <v>499</v>
      </c>
      <c r="AG18" s="10">
        <f>SUMIFS(Master!$F$3:$F$532,Master!$C$3:$C$532,AG$2,Master!$E$3:$E$532,"&gt;="&amp;$A18,Master!$E$3:$E$532,"&lt;"&amp;($A18+1),Master!$H$3:$H$532,"captured")</f>
        <v>0</v>
      </c>
      <c r="AH18" s="10">
        <f>SUMIFS(Master!$F$3:$F$532,Master!$C$3:$C$532,AH$2,Master!$E$3:$E$532,"&gt;="&amp;$A18,Master!$E$3:$E$532,"&lt;"&amp;($A18+1),Master!$H$3:$H$532,"captured")</f>
        <v>0</v>
      </c>
      <c r="AI18" s="10">
        <f>SUMIFS(Master!$F$3:$F$532,Master!$C$3:$C$532,AI$2,Master!$E$3:$E$532,"&gt;="&amp;$A18,Master!$E$3:$E$532,"&lt;"&amp;($A18+1),Master!$H$3:$H$532,"captured")</f>
        <v>0</v>
      </c>
      <c r="AJ18" s="10">
        <f>SUMIFS(Master!$F$3:$F$532,Master!$C$3:$C$532,AJ$2,Master!$E$3:$E$532,"&gt;="&amp;$A18,Master!$E$3:$E$532,"&lt;"&amp;($A18+1),Master!$H$3:$H$532,"captured")</f>
        <v>0</v>
      </c>
      <c r="AK18" s="10">
        <f>SUMIFS(Master!$F$3:$F$532,Master!$C$3:$C$532,AK$2,Master!$E$3:$E$532,"&gt;="&amp;$A18,Master!$E$3:$E$532,"&lt;"&amp;($A18+1),Master!$H$3:$H$532,"captured")</f>
        <v>1499</v>
      </c>
      <c r="AL18" s="10">
        <f>SUMIFS(Master!$F$3:$F$532,Master!$C$3:$C$532,AL$2,Master!$E$3:$E$532,"&gt;="&amp;$A18,Master!$E$3:$E$532,"&lt;"&amp;($A18+1),Master!$H$3:$H$532,"captured")</f>
        <v>2999</v>
      </c>
      <c r="AM18" s="10">
        <f>SUMIFS(Master!$F$3:$F$532,Master!$C$3:$C$532,AM$2,Master!$E$3:$E$532,"&gt;="&amp;$A18,Master!$E$3:$E$532,"&lt;"&amp;($A18+1),Master!$H$3:$H$532,"captured")</f>
        <v>0</v>
      </c>
      <c r="AN18" s="10">
        <f>SUMIFS(Master!$F$3:$F$532,Master!$C$3:$C$532,AN$2,Master!$E$3:$E$532,"&gt;="&amp;$A18,Master!$E$3:$E$532,"&lt;"&amp;($A18+1),Master!$H$3:$H$532,"captured")</f>
        <v>499</v>
      </c>
      <c r="AO18" s="10">
        <f>SUMIFS(Master!$F$3:$F$532,Master!$C$3:$C$532,AO$2,Master!$E$3:$E$532,"&gt;="&amp;$A18,Master!$E$3:$E$532,"&lt;"&amp;($A18+1),Master!$H$3:$H$532,"captured")</f>
        <v>0</v>
      </c>
    </row>
    <row r="19" spans="1:41" x14ac:dyDescent="0.25">
      <c r="A19" s="9">
        <v>46039</v>
      </c>
      <c r="B19" s="10">
        <f>SUMIFS(Master!$F$3:$F$532,Master!$C$3:$C$532,B$2,Master!$E$3:$E$532,"&gt;="&amp;$A19,Master!$E$3:$E$532,"&lt;"&amp;($A19+1),Master!$H$3:$H$532,"captured")</f>
        <v>149</v>
      </c>
      <c r="C19" s="10">
        <f>SUMIFS(Master!$F$3:$F$532,Master!$C$3:$C$532,C$2,Master!$E$3:$E$532,"&gt;="&amp;$A19,Master!$E$3:$E$532,"&lt;"&amp;($A19+1),Master!$H$3:$H$532,"captured")</f>
        <v>0</v>
      </c>
      <c r="D19" s="10">
        <f>SUMIFS(Master!$F$3:$F$532,Master!$C$3:$C$532,D$2,Master!$E$3:$E$532,"&gt;="&amp;$A19,Master!$E$3:$E$532,"&lt;"&amp;($A19+1),Master!$H$3:$H$532,"captured")</f>
        <v>0</v>
      </c>
      <c r="E19" s="10">
        <f>SUMIFS(Master!$F$3:$F$532,Master!$C$3:$C$532,E$2,Master!$E$3:$E$532,"&gt;="&amp;$A19,Master!$E$3:$E$532,"&lt;"&amp;($A19+1),Master!$H$3:$H$532,"captured")</f>
        <v>1499</v>
      </c>
      <c r="F19" s="10">
        <f>SUMIFS(Master!$F$3:$F$532,Master!$C$3:$C$532,F$2,Master!$E$3:$E$532,"&gt;="&amp;$A19,Master!$E$3:$E$532,"&lt;"&amp;($A19+1),Master!$H$3:$H$532,"captured")</f>
        <v>499</v>
      </c>
      <c r="G19" s="10">
        <f>SUMIFS(Master!$F$3:$F$532,Master!$C$3:$C$532,G$2,Master!$E$3:$E$532,"&gt;="&amp;$A19,Master!$E$3:$E$532,"&lt;"&amp;($A19+1),Master!$H$3:$H$532,"captured")</f>
        <v>799</v>
      </c>
      <c r="H19" s="10">
        <f>SUMIFS(Master!$F$3:$F$532,Master!$C$3:$C$532,H$2,Master!$E$3:$E$532,"&gt;="&amp;$A19,Master!$E$3:$E$532,"&lt;"&amp;($A19+1),Master!$H$3:$H$532,"captured")</f>
        <v>149</v>
      </c>
      <c r="I19" s="10">
        <f>SUMIFS(Master!$F$3:$F$532,Master!$C$3:$C$532,I$2,Master!$E$3:$E$532,"&gt;="&amp;$A19,Master!$E$3:$E$532,"&lt;"&amp;($A19+1),Master!$H$3:$H$532,"captured")</f>
        <v>348</v>
      </c>
      <c r="J19" s="10">
        <f>SUMIFS(Master!$F$3:$F$532,Master!$C$3:$C$532,J$2,Master!$E$3:$E$532,"&gt;="&amp;$A19,Master!$E$3:$E$532,"&lt;"&amp;($A19+1),Master!$H$3:$H$532,"captured")</f>
        <v>248</v>
      </c>
      <c r="K19" s="10">
        <f>SUMIFS(Master!$F$3:$F$532,Master!$C$3:$C$532,K$2,Master!$E$3:$E$532,"&gt;="&amp;$A19,Master!$E$3:$E$532,"&lt;"&amp;($A19+1),Master!$H$3:$H$532,"captured")</f>
        <v>0</v>
      </c>
      <c r="L19" s="10">
        <f>SUMIFS(Master!$F$3:$F$532,Master!$C$3:$C$532,L$2,Master!$E$3:$E$532,"&gt;="&amp;$A19,Master!$E$3:$E$532,"&lt;"&amp;($A19+1),Master!$H$3:$H$532,"captured")</f>
        <v>0</v>
      </c>
      <c r="M19" s="10">
        <f>SUMIFS(Master!$F$3:$F$532,Master!$C$3:$C$532,M$2,Master!$E$3:$E$532,"&gt;="&amp;$A19,Master!$E$3:$E$532,"&lt;"&amp;($A19+1),Master!$H$3:$H$532,"captured")</f>
        <v>0</v>
      </c>
      <c r="N19" s="10">
        <f>SUMIFS(Master!$F$3:$F$532,Master!$C$3:$C$532,N$2,Master!$E$3:$E$532,"&gt;="&amp;$A19,Master!$E$3:$E$532,"&lt;"&amp;($A19+1),Master!$H$3:$H$532,"captured")</f>
        <v>0</v>
      </c>
      <c r="O19" s="10">
        <f>SUMIFS(Master!$F$3:$F$532,Master!$C$3:$C$532,O$2,Master!$E$3:$E$532,"&gt;="&amp;$A19,Master!$E$3:$E$532,"&lt;"&amp;($A19+1),Master!$H$3:$H$532,"captured")</f>
        <v>0</v>
      </c>
      <c r="P19" s="10">
        <f>SUMIFS(Master!$F$3:$F$532,Master!$C$3:$C$532,P$2,Master!$E$3:$E$532,"&gt;="&amp;$A19,Master!$E$3:$E$532,"&lt;"&amp;($A19+1),Master!$H$3:$H$532,"captured")</f>
        <v>0</v>
      </c>
      <c r="Q19" s="10">
        <f>SUMIFS(Master!$F$3:$F$532,Master!$C$3:$C$532,Q$2,Master!$E$3:$E$532,"&gt;="&amp;$A19,Master!$E$3:$E$532,"&lt;"&amp;($A19+1),Master!$H$3:$H$532,"captured")</f>
        <v>0</v>
      </c>
      <c r="R19" s="10">
        <f>SUMIFS(Master!$F$3:$F$532,Master!$C$3:$C$532,R$2,Master!$E$3:$E$532,"&gt;="&amp;$A19,Master!$E$3:$E$532,"&lt;"&amp;($A19+1),Master!$H$3:$H$532,"captured")</f>
        <v>299</v>
      </c>
      <c r="S19" s="10">
        <f>SUMIFS(Master!$F$3:$F$532,Master!$C$3:$C$532,S$2,Master!$E$3:$E$532,"&gt;="&amp;$A19,Master!$E$3:$E$532,"&lt;"&amp;($A19+1),Master!$H$3:$H$532,"captured")</f>
        <v>0</v>
      </c>
      <c r="T19" s="10">
        <f>SUMIFS(Master!$F$3:$F$532,Master!$C$3:$C$532,T$2,Master!$E$3:$E$532,"&gt;="&amp;$A19,Master!$E$3:$E$532,"&lt;"&amp;($A19+1),Master!$H$3:$H$532,"captured")</f>
        <v>0</v>
      </c>
      <c r="U19" s="10">
        <f>SUMIFS(Master!$F$3:$F$532,Master!$C$3:$C$532,U$2,Master!$E$3:$E$532,"&gt;="&amp;$A19,Master!$E$3:$E$532,"&lt;"&amp;($A19+1),Master!$H$3:$H$532,"captured")</f>
        <v>0</v>
      </c>
      <c r="V19" s="10">
        <f>SUMIFS(Master!$F$3:$F$532,Master!$C$3:$C$532,V$2,Master!$E$3:$E$532,"&gt;="&amp;$A19,Master!$E$3:$E$532,"&lt;"&amp;($A19+1),Master!$H$3:$H$532,"captured")</f>
        <v>0</v>
      </c>
      <c r="W19" s="10">
        <f>SUMIFS(Master!$F$3:$F$532,Master!$C$3:$C$532,W$2,Master!$E$3:$E$532,"&gt;="&amp;$A19,Master!$E$3:$E$532,"&lt;"&amp;($A19+1),Master!$H$3:$H$532,"captured")</f>
        <v>1598</v>
      </c>
      <c r="X19" s="10">
        <f>SUMIFS(Master!$F$3:$F$532,Master!$C$3:$C$532,X$2,Master!$E$3:$E$532,"&gt;="&amp;$A19,Master!$E$3:$E$532,"&lt;"&amp;($A19+1),Master!$H$3:$H$532,"captured")</f>
        <v>49</v>
      </c>
      <c r="Y19" s="10">
        <f>SUMIFS(Master!$F$3:$F$532,Master!$C$3:$C$532,Y$2,Master!$E$3:$E$532,"&gt;="&amp;$A19,Master!$E$3:$E$532,"&lt;"&amp;($A19+1),Master!$H$3:$H$532,"captured")</f>
        <v>0</v>
      </c>
      <c r="Z19" s="10">
        <f>SUMIFS(Master!$F$3:$F$532,Master!$C$3:$C$532,Z$2,Master!$E$3:$E$532,"&gt;="&amp;$A19,Master!$E$3:$E$532,"&lt;"&amp;($A19+1),Master!$H$3:$H$532,"captured")</f>
        <v>0</v>
      </c>
      <c r="AA19" s="10">
        <f>SUMIFS(Master!$F$3:$F$532,Master!$C$3:$C$532,AA$2,Master!$E$3:$E$532,"&gt;="&amp;$A19,Master!$E$3:$E$532,"&lt;"&amp;($A19+1),Master!$H$3:$H$532,"captured")</f>
        <v>0</v>
      </c>
      <c r="AB19" s="10">
        <f>SUMIFS(Master!$F$3:$F$532,Master!$C$3:$C$532,AB$2,Master!$E$3:$E$532,"&gt;="&amp;$A19,Master!$E$3:$E$532,"&lt;"&amp;($A19+1),Master!$H$3:$H$532,"captured")</f>
        <v>798</v>
      </c>
      <c r="AC19" s="10">
        <f>SUMIFS(Master!$F$3:$F$532,Master!$C$3:$C$532,AC$2,Master!$E$3:$E$532,"&gt;="&amp;$A19,Master!$E$3:$E$532,"&lt;"&amp;($A19+1),Master!$H$3:$H$532,"captured")</f>
        <v>0</v>
      </c>
      <c r="AD19" s="10">
        <f>SUMIFS(Master!$F$3:$F$532,Master!$C$3:$C$532,AD$2,Master!$E$3:$E$532,"&gt;="&amp;$A19,Master!$E$3:$E$532,"&lt;"&amp;($A19+1),Master!$H$3:$H$532,"captured")</f>
        <v>49</v>
      </c>
      <c r="AE19" s="10">
        <f>SUMIFS(Master!$F$3:$F$532,Master!$C$3:$C$532,AE$2,Master!$E$3:$E$532,"&gt;="&amp;$A19,Master!$E$3:$E$532,"&lt;"&amp;($A19+1),Master!$H$3:$H$532,"captured")</f>
        <v>49</v>
      </c>
      <c r="AF19" s="10">
        <f>SUMIFS(Master!$F$3:$F$532,Master!$C$3:$C$532,AF$2,Master!$E$3:$E$532,"&gt;="&amp;$A19,Master!$E$3:$E$532,"&lt;"&amp;($A19+1),Master!$H$3:$H$532,"captured")</f>
        <v>0</v>
      </c>
      <c r="AG19" s="10">
        <f>SUMIFS(Master!$F$3:$F$532,Master!$C$3:$C$532,AG$2,Master!$E$3:$E$532,"&gt;="&amp;$A19,Master!$E$3:$E$532,"&lt;"&amp;($A19+1),Master!$H$3:$H$532,"captured")</f>
        <v>0</v>
      </c>
      <c r="AH19" s="10">
        <f>SUMIFS(Master!$F$3:$F$532,Master!$C$3:$C$532,AH$2,Master!$E$3:$E$532,"&gt;="&amp;$A19,Master!$E$3:$E$532,"&lt;"&amp;($A19+1),Master!$H$3:$H$532,"captured")</f>
        <v>0</v>
      </c>
      <c r="AI19" s="10">
        <f>SUMIFS(Master!$F$3:$F$532,Master!$C$3:$C$532,AI$2,Master!$E$3:$E$532,"&gt;="&amp;$A19,Master!$E$3:$E$532,"&lt;"&amp;($A19+1),Master!$H$3:$H$532,"captured")</f>
        <v>299</v>
      </c>
      <c r="AJ19" s="10">
        <f>SUMIFS(Master!$F$3:$F$532,Master!$C$3:$C$532,AJ$2,Master!$E$3:$E$532,"&gt;="&amp;$A19,Master!$E$3:$E$532,"&lt;"&amp;($A19+1),Master!$H$3:$H$532,"captured")</f>
        <v>0</v>
      </c>
      <c r="AK19" s="10">
        <f>SUMIFS(Master!$F$3:$F$532,Master!$C$3:$C$532,AK$2,Master!$E$3:$E$532,"&gt;="&amp;$A19,Master!$E$3:$E$532,"&lt;"&amp;($A19+1),Master!$H$3:$H$532,"captured")</f>
        <v>1399</v>
      </c>
      <c r="AL19" s="10">
        <f>SUMIFS(Master!$F$3:$F$532,Master!$C$3:$C$532,AL$2,Master!$E$3:$E$532,"&gt;="&amp;$A19,Master!$E$3:$E$532,"&lt;"&amp;($A19+1),Master!$H$3:$H$532,"captured")</f>
        <v>0</v>
      </c>
      <c r="AM19" s="10">
        <f>SUMIFS(Master!$F$3:$F$532,Master!$C$3:$C$532,AM$2,Master!$E$3:$E$532,"&gt;="&amp;$A19,Master!$E$3:$E$532,"&lt;"&amp;($A19+1),Master!$H$3:$H$532,"captured")</f>
        <v>0</v>
      </c>
      <c r="AN19" s="10">
        <f>SUMIFS(Master!$F$3:$F$532,Master!$C$3:$C$532,AN$2,Master!$E$3:$E$532,"&gt;="&amp;$A19,Master!$E$3:$E$532,"&lt;"&amp;($A19+1),Master!$H$3:$H$532,"captured")</f>
        <v>2999</v>
      </c>
      <c r="AO19" s="10">
        <f>SUMIFS(Master!$F$3:$F$532,Master!$C$3:$C$532,AO$2,Master!$E$3:$E$532,"&gt;="&amp;$A19,Master!$E$3:$E$532,"&lt;"&amp;($A19+1),Master!$H$3:$H$532,"captured")</f>
        <v>0</v>
      </c>
    </row>
    <row r="20" spans="1:41" x14ac:dyDescent="0.25">
      <c r="A20" s="9">
        <v>46040</v>
      </c>
      <c r="B20" s="10">
        <f>SUMIFS(Master!$F$3:$F$532,Master!$C$3:$C$532,B$2,Master!$E$3:$E$532,"&gt;="&amp;$A20,Master!$E$3:$E$532,"&lt;"&amp;($A20+1),Master!$H$3:$H$532,"captured")</f>
        <v>0</v>
      </c>
      <c r="C20" s="10">
        <f>SUMIFS(Master!$F$3:$F$532,Master!$C$3:$C$532,C$2,Master!$E$3:$E$532,"&gt;="&amp;$A20,Master!$E$3:$E$532,"&lt;"&amp;($A20+1),Master!$H$3:$H$532,"captured")</f>
        <v>0</v>
      </c>
      <c r="D20" s="10">
        <f>SUMIFS(Master!$F$3:$F$532,Master!$C$3:$C$532,D$2,Master!$E$3:$E$532,"&gt;="&amp;$A20,Master!$E$3:$E$532,"&lt;"&amp;($A20+1),Master!$H$3:$H$532,"captured")</f>
        <v>0</v>
      </c>
      <c r="E20" s="10">
        <f>SUMIFS(Master!$F$3:$F$532,Master!$C$3:$C$532,E$2,Master!$E$3:$E$532,"&gt;="&amp;$A20,Master!$E$3:$E$532,"&lt;"&amp;($A20+1),Master!$H$3:$H$532,"captured")</f>
        <v>0</v>
      </c>
      <c r="F20" s="10">
        <f>SUMIFS(Master!$F$3:$F$532,Master!$C$3:$C$532,F$2,Master!$E$3:$E$532,"&gt;="&amp;$A20,Master!$E$3:$E$532,"&lt;"&amp;($A20+1),Master!$H$3:$H$532,"captured")</f>
        <v>299</v>
      </c>
      <c r="G20" s="10">
        <f>SUMIFS(Master!$F$3:$F$532,Master!$C$3:$C$532,G$2,Master!$E$3:$E$532,"&gt;="&amp;$A20,Master!$E$3:$E$532,"&lt;"&amp;($A20+1),Master!$H$3:$H$532,"captured")</f>
        <v>0</v>
      </c>
      <c r="H20" s="10">
        <f>SUMIFS(Master!$F$3:$F$532,Master!$C$3:$C$532,H$2,Master!$E$3:$E$532,"&gt;="&amp;$A20,Master!$E$3:$E$532,"&lt;"&amp;($A20+1),Master!$H$3:$H$532,"captured")</f>
        <v>0</v>
      </c>
      <c r="I20" s="10">
        <f>SUMIFS(Master!$F$3:$F$532,Master!$C$3:$C$532,I$2,Master!$E$3:$E$532,"&gt;="&amp;$A20,Master!$E$3:$E$532,"&lt;"&amp;($A20+1),Master!$H$3:$H$532,"captured")</f>
        <v>499</v>
      </c>
      <c r="J20" s="10">
        <f>SUMIFS(Master!$F$3:$F$532,Master!$C$3:$C$532,J$2,Master!$E$3:$E$532,"&gt;="&amp;$A20,Master!$E$3:$E$532,"&lt;"&amp;($A20+1),Master!$H$3:$H$532,"captured")</f>
        <v>299</v>
      </c>
      <c r="K20" s="10">
        <f>SUMIFS(Master!$F$3:$F$532,Master!$C$3:$C$532,K$2,Master!$E$3:$E$532,"&gt;="&amp;$A20,Master!$E$3:$E$532,"&lt;"&amp;($A20+1),Master!$H$3:$H$532,"captured")</f>
        <v>0</v>
      </c>
      <c r="L20" s="10">
        <f>SUMIFS(Master!$F$3:$F$532,Master!$C$3:$C$532,L$2,Master!$E$3:$E$532,"&gt;="&amp;$A20,Master!$E$3:$E$532,"&lt;"&amp;($A20+1),Master!$H$3:$H$532,"captured")</f>
        <v>0</v>
      </c>
      <c r="M20" s="10">
        <f>SUMIFS(Master!$F$3:$F$532,Master!$C$3:$C$532,M$2,Master!$E$3:$E$532,"&gt;="&amp;$A20,Master!$E$3:$E$532,"&lt;"&amp;($A20+1),Master!$H$3:$H$532,"captured")</f>
        <v>799</v>
      </c>
      <c r="N20" s="10">
        <f>SUMIFS(Master!$F$3:$F$532,Master!$C$3:$C$532,N$2,Master!$E$3:$E$532,"&gt;="&amp;$A20,Master!$E$3:$E$532,"&lt;"&amp;($A20+1),Master!$H$3:$H$532,"captured")</f>
        <v>0</v>
      </c>
      <c r="O20" s="10">
        <f>SUMIFS(Master!$F$3:$F$532,Master!$C$3:$C$532,O$2,Master!$E$3:$E$532,"&gt;="&amp;$A20,Master!$E$3:$E$532,"&lt;"&amp;($A20+1),Master!$H$3:$H$532,"captured")</f>
        <v>99</v>
      </c>
      <c r="P20" s="10">
        <f>SUMIFS(Master!$F$3:$F$532,Master!$C$3:$C$532,P$2,Master!$E$3:$E$532,"&gt;="&amp;$A20,Master!$E$3:$E$532,"&lt;"&amp;($A20+1),Master!$H$3:$H$532,"captured")</f>
        <v>499</v>
      </c>
      <c r="Q20" s="10">
        <f>SUMIFS(Master!$F$3:$F$532,Master!$C$3:$C$532,Q$2,Master!$E$3:$E$532,"&gt;="&amp;$A20,Master!$E$3:$E$532,"&lt;"&amp;($A20+1),Master!$H$3:$H$532,"captured")</f>
        <v>49</v>
      </c>
      <c r="R20" s="10">
        <f>SUMIFS(Master!$F$3:$F$532,Master!$C$3:$C$532,R$2,Master!$E$3:$E$532,"&gt;="&amp;$A20,Master!$E$3:$E$532,"&lt;"&amp;($A20+1),Master!$H$3:$H$532,"captured")</f>
        <v>198</v>
      </c>
      <c r="S20" s="10">
        <f>SUMIFS(Master!$F$3:$F$532,Master!$C$3:$C$532,S$2,Master!$E$3:$E$532,"&gt;="&amp;$A20,Master!$E$3:$E$532,"&lt;"&amp;($A20+1),Master!$H$3:$H$532,"captured")</f>
        <v>499</v>
      </c>
      <c r="T20" s="10">
        <f>SUMIFS(Master!$F$3:$F$532,Master!$C$3:$C$532,T$2,Master!$E$3:$E$532,"&gt;="&amp;$A20,Master!$E$3:$E$532,"&lt;"&amp;($A20+1),Master!$H$3:$H$532,"captured")</f>
        <v>0</v>
      </c>
      <c r="U20" s="10">
        <f>SUMIFS(Master!$F$3:$F$532,Master!$C$3:$C$532,U$2,Master!$E$3:$E$532,"&gt;="&amp;$A20,Master!$E$3:$E$532,"&lt;"&amp;($A20+1),Master!$H$3:$H$532,"captured")</f>
        <v>0</v>
      </c>
      <c r="V20" s="10">
        <f>SUMIFS(Master!$F$3:$F$532,Master!$C$3:$C$532,V$2,Master!$E$3:$E$532,"&gt;="&amp;$A20,Master!$E$3:$E$532,"&lt;"&amp;($A20+1),Master!$H$3:$H$532,"captured")</f>
        <v>799</v>
      </c>
      <c r="W20" s="10">
        <f>SUMIFS(Master!$F$3:$F$532,Master!$C$3:$C$532,W$2,Master!$E$3:$E$532,"&gt;="&amp;$A20,Master!$E$3:$E$532,"&lt;"&amp;($A20+1),Master!$H$3:$H$532,"captured")</f>
        <v>0</v>
      </c>
      <c r="X20" s="10">
        <f>SUMIFS(Master!$F$3:$F$532,Master!$C$3:$C$532,X$2,Master!$E$3:$E$532,"&gt;="&amp;$A20,Master!$E$3:$E$532,"&lt;"&amp;($A20+1),Master!$H$3:$H$532,"captured")</f>
        <v>0</v>
      </c>
      <c r="Y20" s="10">
        <f>SUMIFS(Master!$F$3:$F$532,Master!$C$3:$C$532,Y$2,Master!$E$3:$E$532,"&gt;="&amp;$A20,Master!$E$3:$E$532,"&lt;"&amp;($A20+1),Master!$H$3:$H$532,"captured")</f>
        <v>0</v>
      </c>
      <c r="Z20" s="10">
        <f>SUMIFS(Master!$F$3:$F$532,Master!$C$3:$C$532,Z$2,Master!$E$3:$E$532,"&gt;="&amp;$A20,Master!$E$3:$E$532,"&lt;"&amp;($A20+1),Master!$H$3:$H$532,"captured")</f>
        <v>0</v>
      </c>
      <c r="AA20" s="10">
        <f>SUMIFS(Master!$F$3:$F$532,Master!$C$3:$C$532,AA$2,Master!$E$3:$E$532,"&gt;="&amp;$A20,Master!$E$3:$E$532,"&lt;"&amp;($A20+1),Master!$H$3:$H$532,"captured")</f>
        <v>0</v>
      </c>
      <c r="AB20" s="10">
        <f>SUMIFS(Master!$F$3:$F$532,Master!$C$3:$C$532,AB$2,Master!$E$3:$E$532,"&gt;="&amp;$A20,Master!$E$3:$E$532,"&lt;"&amp;($A20+1),Master!$H$3:$H$532,"captured")</f>
        <v>0</v>
      </c>
      <c r="AC20" s="10">
        <f>SUMIFS(Master!$F$3:$F$532,Master!$C$3:$C$532,AC$2,Master!$E$3:$E$532,"&gt;="&amp;$A20,Master!$E$3:$E$532,"&lt;"&amp;($A20+1),Master!$H$3:$H$532,"captured")</f>
        <v>0</v>
      </c>
      <c r="AD20" s="10">
        <f>SUMIFS(Master!$F$3:$F$532,Master!$C$3:$C$532,AD$2,Master!$E$3:$E$532,"&gt;="&amp;$A20,Master!$E$3:$E$532,"&lt;"&amp;($A20+1),Master!$H$3:$H$532,"captured")</f>
        <v>0</v>
      </c>
      <c r="AE20" s="10">
        <f>SUMIFS(Master!$F$3:$F$532,Master!$C$3:$C$532,AE$2,Master!$E$3:$E$532,"&gt;="&amp;$A20,Master!$E$3:$E$532,"&lt;"&amp;($A20+1),Master!$H$3:$H$532,"captured")</f>
        <v>799</v>
      </c>
      <c r="AF20" s="10">
        <f>SUMIFS(Master!$F$3:$F$532,Master!$C$3:$C$532,AF$2,Master!$E$3:$E$532,"&gt;="&amp;$A20,Master!$E$3:$E$532,"&lt;"&amp;($A20+1),Master!$H$3:$H$532,"captured")</f>
        <v>49</v>
      </c>
      <c r="AG20" s="10">
        <f>SUMIFS(Master!$F$3:$F$532,Master!$C$3:$C$532,AG$2,Master!$E$3:$E$532,"&gt;="&amp;$A20,Master!$E$3:$E$532,"&lt;"&amp;($A20+1),Master!$H$3:$H$532,"captured")</f>
        <v>0</v>
      </c>
      <c r="AH20" s="10">
        <f>SUMIFS(Master!$F$3:$F$532,Master!$C$3:$C$532,AH$2,Master!$E$3:$E$532,"&gt;="&amp;$A20,Master!$E$3:$E$532,"&lt;"&amp;($A20+1),Master!$H$3:$H$532,"captured")</f>
        <v>0</v>
      </c>
      <c r="AI20" s="10">
        <f>SUMIFS(Master!$F$3:$F$532,Master!$C$3:$C$532,AI$2,Master!$E$3:$E$532,"&gt;="&amp;$A20,Master!$E$3:$E$532,"&lt;"&amp;($A20+1),Master!$H$3:$H$532,"captured")</f>
        <v>148</v>
      </c>
      <c r="AJ20" s="10">
        <f>SUMIFS(Master!$F$3:$F$532,Master!$C$3:$C$532,AJ$2,Master!$E$3:$E$532,"&gt;="&amp;$A20,Master!$E$3:$E$532,"&lt;"&amp;($A20+1),Master!$H$3:$H$532,"captured")</f>
        <v>0</v>
      </c>
      <c r="AK20" s="10">
        <f>SUMIFS(Master!$F$3:$F$532,Master!$C$3:$C$532,AK$2,Master!$E$3:$E$532,"&gt;="&amp;$A20,Master!$E$3:$E$532,"&lt;"&amp;($A20+1),Master!$H$3:$H$532,"captured")</f>
        <v>0</v>
      </c>
      <c r="AL20" s="10">
        <f>SUMIFS(Master!$F$3:$F$532,Master!$C$3:$C$532,AL$2,Master!$E$3:$E$532,"&gt;="&amp;$A20,Master!$E$3:$E$532,"&lt;"&amp;($A20+1),Master!$H$3:$H$532,"captured")</f>
        <v>0</v>
      </c>
      <c r="AM20" s="10">
        <f>SUMIFS(Master!$F$3:$F$532,Master!$C$3:$C$532,AM$2,Master!$E$3:$E$532,"&gt;="&amp;$A20,Master!$E$3:$E$532,"&lt;"&amp;($A20+1),Master!$H$3:$H$532,"captured")</f>
        <v>0</v>
      </c>
      <c r="AN20" s="10">
        <f>SUMIFS(Master!$F$3:$F$532,Master!$C$3:$C$532,AN$2,Master!$E$3:$E$532,"&gt;="&amp;$A20,Master!$E$3:$E$532,"&lt;"&amp;($A20+1),Master!$H$3:$H$532,"captured")</f>
        <v>2999</v>
      </c>
      <c r="AO20" s="10">
        <f>SUMIFS(Master!$F$3:$F$532,Master!$C$3:$C$532,AO$2,Master!$E$3:$E$532,"&gt;="&amp;$A20,Master!$E$3:$E$532,"&lt;"&amp;($A20+1),Master!$H$3:$H$532,"captured")</f>
        <v>799</v>
      </c>
    </row>
    <row r="21" spans="1:41" x14ac:dyDescent="0.25">
      <c r="A21" s="9">
        <v>46041</v>
      </c>
      <c r="B21" s="10">
        <f>SUMIFS(Master!$F$3:$F$532,Master!$C$3:$C$532,B$2,Master!$E$3:$E$532,"&gt;="&amp;$A21,Master!$E$3:$E$532,"&lt;"&amp;($A21+1),Master!$H$3:$H$532,"captured")</f>
        <v>0</v>
      </c>
      <c r="C21" s="10">
        <f>SUMIFS(Master!$F$3:$F$532,Master!$C$3:$C$532,C$2,Master!$E$3:$E$532,"&gt;="&amp;$A21,Master!$E$3:$E$532,"&lt;"&amp;($A21+1),Master!$H$3:$H$532,"captured")</f>
        <v>49</v>
      </c>
      <c r="D21" s="10">
        <f>SUMIFS(Master!$F$3:$F$532,Master!$C$3:$C$532,D$2,Master!$E$3:$E$532,"&gt;="&amp;$A21,Master!$E$3:$E$532,"&lt;"&amp;($A21+1),Master!$H$3:$H$532,"captured")</f>
        <v>0</v>
      </c>
      <c r="E21" s="10">
        <f>SUMIFS(Master!$F$3:$F$532,Master!$C$3:$C$532,E$2,Master!$E$3:$E$532,"&gt;="&amp;$A21,Master!$E$3:$E$532,"&lt;"&amp;($A21+1),Master!$H$3:$H$532,"captured")</f>
        <v>0</v>
      </c>
      <c r="F21" s="10">
        <f>SUMIFS(Master!$F$3:$F$532,Master!$C$3:$C$532,F$2,Master!$E$3:$E$532,"&gt;="&amp;$A21,Master!$E$3:$E$532,"&lt;"&amp;($A21+1),Master!$H$3:$H$532,"captured")</f>
        <v>49</v>
      </c>
      <c r="G21" s="10">
        <f>SUMIFS(Master!$F$3:$F$532,Master!$C$3:$C$532,G$2,Master!$E$3:$E$532,"&gt;="&amp;$A21,Master!$E$3:$E$532,"&lt;"&amp;($A21+1),Master!$H$3:$H$532,"captured")</f>
        <v>49</v>
      </c>
      <c r="H21" s="10">
        <f>SUMIFS(Master!$F$3:$F$532,Master!$C$3:$C$532,H$2,Master!$E$3:$E$532,"&gt;="&amp;$A21,Master!$E$3:$E$532,"&lt;"&amp;($A21+1),Master!$H$3:$H$532,"captured")</f>
        <v>0</v>
      </c>
      <c r="I21" s="10">
        <f>SUMIFS(Master!$F$3:$F$532,Master!$C$3:$C$532,I$2,Master!$E$3:$E$532,"&gt;="&amp;$A21,Master!$E$3:$E$532,"&lt;"&amp;($A21+1),Master!$H$3:$H$532,"captured")</f>
        <v>99</v>
      </c>
      <c r="J21" s="10">
        <f>SUMIFS(Master!$F$3:$F$532,Master!$C$3:$C$532,J$2,Master!$E$3:$E$532,"&gt;="&amp;$A21,Master!$E$3:$E$532,"&lt;"&amp;($A21+1),Master!$H$3:$H$532,"captured")</f>
        <v>0</v>
      </c>
      <c r="K21" s="10">
        <f>SUMIFS(Master!$F$3:$F$532,Master!$C$3:$C$532,K$2,Master!$E$3:$E$532,"&gt;="&amp;$A21,Master!$E$3:$E$532,"&lt;"&amp;($A21+1),Master!$H$3:$H$532,"captured")</f>
        <v>499</v>
      </c>
      <c r="L21" s="10">
        <f>SUMIFS(Master!$F$3:$F$532,Master!$C$3:$C$532,L$2,Master!$E$3:$E$532,"&gt;="&amp;$A21,Master!$E$3:$E$532,"&lt;"&amp;($A21+1),Master!$H$3:$H$532,"captured")</f>
        <v>0</v>
      </c>
      <c r="M21" s="10">
        <f>SUMIFS(Master!$F$3:$F$532,Master!$C$3:$C$532,M$2,Master!$E$3:$E$532,"&gt;="&amp;$A21,Master!$E$3:$E$532,"&lt;"&amp;($A21+1),Master!$H$3:$H$532,"captured")</f>
        <v>0</v>
      </c>
      <c r="N21" s="10">
        <f>SUMIFS(Master!$F$3:$F$532,Master!$C$3:$C$532,N$2,Master!$E$3:$E$532,"&gt;="&amp;$A21,Master!$E$3:$E$532,"&lt;"&amp;($A21+1),Master!$H$3:$H$532,"captured")</f>
        <v>0</v>
      </c>
      <c r="O21" s="10">
        <f>SUMIFS(Master!$F$3:$F$532,Master!$C$3:$C$532,O$2,Master!$E$3:$E$532,"&gt;="&amp;$A21,Master!$E$3:$E$532,"&lt;"&amp;($A21+1),Master!$H$3:$H$532,"captured")</f>
        <v>99</v>
      </c>
      <c r="P21" s="10">
        <f>SUMIFS(Master!$F$3:$F$532,Master!$C$3:$C$532,P$2,Master!$E$3:$E$532,"&gt;="&amp;$A21,Master!$E$3:$E$532,"&lt;"&amp;($A21+1),Master!$H$3:$H$532,"captured")</f>
        <v>499</v>
      </c>
      <c r="Q21" s="10">
        <f>SUMIFS(Master!$F$3:$F$532,Master!$C$3:$C$532,Q$2,Master!$E$3:$E$532,"&gt;="&amp;$A21,Master!$E$3:$E$532,"&lt;"&amp;($A21+1),Master!$H$3:$H$532,"captured")</f>
        <v>0</v>
      </c>
      <c r="R21" s="10">
        <f>SUMIFS(Master!$F$3:$F$532,Master!$C$3:$C$532,R$2,Master!$E$3:$E$532,"&gt;="&amp;$A21,Master!$E$3:$E$532,"&lt;"&amp;($A21+1),Master!$H$3:$H$532,"captured")</f>
        <v>49</v>
      </c>
      <c r="S21" s="10">
        <f>SUMIFS(Master!$F$3:$F$532,Master!$C$3:$C$532,S$2,Master!$E$3:$E$532,"&gt;="&amp;$A21,Master!$E$3:$E$532,"&lt;"&amp;($A21+1),Master!$H$3:$H$532,"captured")</f>
        <v>0</v>
      </c>
      <c r="T21" s="10">
        <f>SUMIFS(Master!$F$3:$F$532,Master!$C$3:$C$532,T$2,Master!$E$3:$E$532,"&gt;="&amp;$A21,Master!$E$3:$E$532,"&lt;"&amp;($A21+1),Master!$H$3:$H$532,"captured")</f>
        <v>99</v>
      </c>
      <c r="U21" s="10">
        <f>SUMIFS(Master!$F$3:$F$532,Master!$C$3:$C$532,U$2,Master!$E$3:$E$532,"&gt;="&amp;$A21,Master!$E$3:$E$532,"&lt;"&amp;($A21+1),Master!$H$3:$H$532,"captured")</f>
        <v>0</v>
      </c>
      <c r="V21" s="10">
        <f>SUMIFS(Master!$F$3:$F$532,Master!$C$3:$C$532,V$2,Master!$E$3:$E$532,"&gt;="&amp;$A21,Master!$E$3:$E$532,"&lt;"&amp;($A21+1),Master!$H$3:$H$532,"captured")</f>
        <v>99</v>
      </c>
      <c r="W21" s="10">
        <f>SUMIFS(Master!$F$3:$F$532,Master!$C$3:$C$532,W$2,Master!$E$3:$E$532,"&gt;="&amp;$A21,Master!$E$3:$E$532,"&lt;"&amp;($A21+1),Master!$H$3:$H$532,"captured")</f>
        <v>0</v>
      </c>
      <c r="X21" s="10">
        <f>SUMIFS(Master!$F$3:$F$532,Master!$C$3:$C$532,X$2,Master!$E$3:$E$532,"&gt;="&amp;$A21,Master!$E$3:$E$532,"&lt;"&amp;($A21+1),Master!$H$3:$H$532,"captured")</f>
        <v>0</v>
      </c>
      <c r="Y21" s="10">
        <f>SUMIFS(Master!$F$3:$F$532,Master!$C$3:$C$532,Y$2,Master!$E$3:$E$532,"&gt;="&amp;$A21,Master!$E$3:$E$532,"&lt;"&amp;($A21+1),Master!$H$3:$H$532,"captured")</f>
        <v>0</v>
      </c>
      <c r="Z21" s="10">
        <f>SUMIFS(Master!$F$3:$F$532,Master!$C$3:$C$532,Z$2,Master!$E$3:$E$532,"&gt;="&amp;$A21,Master!$E$3:$E$532,"&lt;"&amp;($A21+1),Master!$H$3:$H$532,"captured")</f>
        <v>2999</v>
      </c>
      <c r="AA21" s="10">
        <f>SUMIFS(Master!$F$3:$F$532,Master!$C$3:$C$532,AA$2,Master!$E$3:$E$532,"&gt;="&amp;$A21,Master!$E$3:$E$532,"&lt;"&amp;($A21+1),Master!$H$3:$H$532,"captured")</f>
        <v>0</v>
      </c>
      <c r="AB21" s="10">
        <f>SUMIFS(Master!$F$3:$F$532,Master!$C$3:$C$532,AB$2,Master!$E$3:$E$532,"&gt;="&amp;$A21,Master!$E$3:$E$532,"&lt;"&amp;($A21+1),Master!$H$3:$H$532,"captured")</f>
        <v>0</v>
      </c>
      <c r="AC21" s="10">
        <f>SUMIFS(Master!$F$3:$F$532,Master!$C$3:$C$532,AC$2,Master!$E$3:$E$532,"&gt;="&amp;$A21,Master!$E$3:$E$532,"&lt;"&amp;($A21+1),Master!$H$3:$H$532,"captured")</f>
        <v>0</v>
      </c>
      <c r="AD21" s="10">
        <f>SUMIFS(Master!$F$3:$F$532,Master!$C$3:$C$532,AD$2,Master!$E$3:$E$532,"&gt;="&amp;$A21,Master!$E$3:$E$532,"&lt;"&amp;($A21+1),Master!$H$3:$H$532,"captured")</f>
        <v>49</v>
      </c>
      <c r="AE21" s="10">
        <f>SUMIFS(Master!$F$3:$F$532,Master!$C$3:$C$532,AE$2,Master!$E$3:$E$532,"&gt;="&amp;$A21,Master!$E$3:$E$532,"&lt;"&amp;($A21+1),Master!$H$3:$H$532,"captured")</f>
        <v>0</v>
      </c>
      <c r="AF21" s="10">
        <f>SUMIFS(Master!$F$3:$F$532,Master!$C$3:$C$532,AF$2,Master!$E$3:$E$532,"&gt;="&amp;$A21,Master!$E$3:$E$532,"&lt;"&amp;($A21+1),Master!$H$3:$H$532,"captured")</f>
        <v>0</v>
      </c>
      <c r="AG21" s="10">
        <f>SUMIFS(Master!$F$3:$F$532,Master!$C$3:$C$532,AG$2,Master!$E$3:$E$532,"&gt;="&amp;$A21,Master!$E$3:$E$532,"&lt;"&amp;($A21+1),Master!$H$3:$H$532,"captured")</f>
        <v>0</v>
      </c>
      <c r="AH21" s="10">
        <f>SUMIFS(Master!$F$3:$F$532,Master!$C$3:$C$532,AH$2,Master!$E$3:$E$532,"&gt;="&amp;$A21,Master!$E$3:$E$532,"&lt;"&amp;($A21+1),Master!$H$3:$H$532,"captured")</f>
        <v>0</v>
      </c>
      <c r="AI21" s="10">
        <f>SUMIFS(Master!$F$3:$F$532,Master!$C$3:$C$532,AI$2,Master!$E$3:$E$532,"&gt;="&amp;$A21,Master!$E$3:$E$532,"&lt;"&amp;($A21+1),Master!$H$3:$H$532,"captured")</f>
        <v>499</v>
      </c>
      <c r="AJ21" s="10">
        <f>SUMIFS(Master!$F$3:$F$532,Master!$C$3:$C$532,AJ$2,Master!$E$3:$E$532,"&gt;="&amp;$A21,Master!$E$3:$E$532,"&lt;"&amp;($A21+1),Master!$H$3:$H$532,"captured")</f>
        <v>0</v>
      </c>
      <c r="AK21" s="10">
        <f>SUMIFS(Master!$F$3:$F$532,Master!$C$3:$C$532,AK$2,Master!$E$3:$E$532,"&gt;="&amp;$A21,Master!$E$3:$E$532,"&lt;"&amp;($A21+1),Master!$H$3:$H$532,"captured")</f>
        <v>0</v>
      </c>
      <c r="AL21" s="10">
        <f>SUMIFS(Master!$F$3:$F$532,Master!$C$3:$C$532,AL$2,Master!$E$3:$E$532,"&gt;="&amp;$A21,Master!$E$3:$E$532,"&lt;"&amp;($A21+1),Master!$H$3:$H$532,"captured")</f>
        <v>0</v>
      </c>
      <c r="AM21" s="10">
        <f>SUMIFS(Master!$F$3:$F$532,Master!$C$3:$C$532,AM$2,Master!$E$3:$E$532,"&gt;="&amp;$A21,Master!$E$3:$E$532,"&lt;"&amp;($A21+1),Master!$H$3:$H$532,"captured")</f>
        <v>0</v>
      </c>
      <c r="AN21" s="10">
        <f>SUMIFS(Master!$F$3:$F$532,Master!$C$3:$C$532,AN$2,Master!$E$3:$E$532,"&gt;="&amp;$A21,Master!$E$3:$E$532,"&lt;"&amp;($A21+1),Master!$H$3:$H$532,"captured")</f>
        <v>0</v>
      </c>
      <c r="AO21" s="10">
        <f>SUMIFS(Master!$F$3:$F$532,Master!$C$3:$C$532,AO$2,Master!$E$3:$E$532,"&gt;="&amp;$A21,Master!$E$3:$E$532,"&lt;"&amp;($A21+1),Master!$H$3:$H$532,"captured")</f>
        <v>648</v>
      </c>
    </row>
    <row r="22" spans="1:41" x14ac:dyDescent="0.25">
      <c r="A22" s="9">
        <v>46042</v>
      </c>
      <c r="B22" s="10">
        <f>SUMIFS(Master!$F$3:$F$532,Master!$C$3:$C$532,B$2,Master!$E$3:$E$532,"&gt;="&amp;$A22,Master!$E$3:$E$532,"&lt;"&amp;($A22+1),Master!$H$3:$H$532,"captured")</f>
        <v>0</v>
      </c>
      <c r="C22" s="10">
        <f>SUMIFS(Master!$F$3:$F$532,Master!$C$3:$C$532,C$2,Master!$E$3:$E$532,"&gt;="&amp;$A22,Master!$E$3:$E$532,"&lt;"&amp;($A22+1),Master!$H$3:$H$532,"captured")</f>
        <v>0</v>
      </c>
      <c r="D22" s="10">
        <f>SUMIFS(Master!$F$3:$F$532,Master!$C$3:$C$532,D$2,Master!$E$3:$E$532,"&gt;="&amp;$A22,Master!$E$3:$E$532,"&lt;"&amp;($A22+1),Master!$H$3:$H$532,"captured")</f>
        <v>99</v>
      </c>
      <c r="E22" s="10">
        <f>SUMIFS(Master!$F$3:$F$532,Master!$C$3:$C$532,E$2,Master!$E$3:$E$532,"&gt;="&amp;$A22,Master!$E$3:$E$532,"&lt;"&amp;($A22+1),Master!$H$3:$H$532,"captured")</f>
        <v>0</v>
      </c>
      <c r="F22" s="10">
        <f>SUMIFS(Master!$F$3:$F$532,Master!$C$3:$C$532,F$2,Master!$E$3:$E$532,"&gt;="&amp;$A22,Master!$E$3:$E$532,"&lt;"&amp;($A22+1),Master!$H$3:$H$532,"captured")</f>
        <v>0</v>
      </c>
      <c r="G22" s="10">
        <f>SUMIFS(Master!$F$3:$F$532,Master!$C$3:$C$532,G$2,Master!$E$3:$E$532,"&gt;="&amp;$A22,Master!$E$3:$E$532,"&lt;"&amp;($A22+1),Master!$H$3:$H$532,"captured")</f>
        <v>0</v>
      </c>
      <c r="H22" s="10">
        <f>SUMIFS(Master!$F$3:$F$532,Master!$C$3:$C$532,H$2,Master!$E$3:$E$532,"&gt;="&amp;$A22,Master!$E$3:$E$532,"&lt;"&amp;($A22+1),Master!$H$3:$H$532,"captured")</f>
        <v>0</v>
      </c>
      <c r="I22" s="10">
        <f>SUMIFS(Master!$F$3:$F$532,Master!$C$3:$C$532,I$2,Master!$E$3:$E$532,"&gt;="&amp;$A22,Master!$E$3:$E$532,"&lt;"&amp;($A22+1),Master!$H$3:$H$532,"captured")</f>
        <v>0</v>
      </c>
      <c r="J22" s="10">
        <f>SUMIFS(Master!$F$3:$F$532,Master!$C$3:$C$532,J$2,Master!$E$3:$E$532,"&gt;="&amp;$A22,Master!$E$3:$E$532,"&lt;"&amp;($A22+1),Master!$H$3:$H$532,"captured")</f>
        <v>0</v>
      </c>
      <c r="K22" s="10">
        <f>SUMIFS(Master!$F$3:$F$532,Master!$C$3:$C$532,K$2,Master!$E$3:$E$532,"&gt;="&amp;$A22,Master!$E$3:$E$532,"&lt;"&amp;($A22+1),Master!$H$3:$H$532,"captured")</f>
        <v>0</v>
      </c>
      <c r="L22" s="10">
        <f>SUMIFS(Master!$F$3:$F$532,Master!$C$3:$C$532,L$2,Master!$E$3:$E$532,"&gt;="&amp;$A22,Master!$E$3:$E$532,"&lt;"&amp;($A22+1),Master!$H$3:$H$532,"captured")</f>
        <v>299</v>
      </c>
      <c r="M22" s="10">
        <f>SUMIFS(Master!$F$3:$F$532,Master!$C$3:$C$532,M$2,Master!$E$3:$E$532,"&gt;="&amp;$A22,Master!$E$3:$E$532,"&lt;"&amp;($A22+1),Master!$H$3:$H$532,"captured")</f>
        <v>0</v>
      </c>
      <c r="N22" s="10">
        <f>SUMIFS(Master!$F$3:$F$532,Master!$C$3:$C$532,N$2,Master!$E$3:$E$532,"&gt;="&amp;$A22,Master!$E$3:$E$532,"&lt;"&amp;($A22+1),Master!$H$3:$H$532,"captured")</f>
        <v>4999</v>
      </c>
      <c r="O22" s="10">
        <f>SUMIFS(Master!$F$3:$F$532,Master!$C$3:$C$532,O$2,Master!$E$3:$E$532,"&gt;="&amp;$A22,Master!$E$3:$E$532,"&lt;"&amp;($A22+1),Master!$H$3:$H$532,"captured")</f>
        <v>0</v>
      </c>
      <c r="P22" s="10">
        <f>SUMIFS(Master!$F$3:$F$532,Master!$C$3:$C$532,P$2,Master!$E$3:$E$532,"&gt;="&amp;$A22,Master!$E$3:$E$532,"&lt;"&amp;($A22+1),Master!$H$3:$H$532,"captured")</f>
        <v>0</v>
      </c>
      <c r="Q22" s="10">
        <f>SUMIFS(Master!$F$3:$F$532,Master!$C$3:$C$532,Q$2,Master!$E$3:$E$532,"&gt;="&amp;$A22,Master!$E$3:$E$532,"&lt;"&amp;($A22+1),Master!$H$3:$H$532,"captured")</f>
        <v>448</v>
      </c>
      <c r="R22" s="10">
        <f>SUMIFS(Master!$F$3:$F$532,Master!$C$3:$C$532,R$2,Master!$E$3:$E$532,"&gt;="&amp;$A22,Master!$E$3:$E$532,"&lt;"&amp;($A22+1),Master!$H$3:$H$532,"captured")</f>
        <v>0</v>
      </c>
      <c r="S22" s="10">
        <f>SUMIFS(Master!$F$3:$F$532,Master!$C$3:$C$532,S$2,Master!$E$3:$E$532,"&gt;="&amp;$A22,Master!$E$3:$E$532,"&lt;"&amp;($A22+1),Master!$H$3:$H$532,"captured")</f>
        <v>149</v>
      </c>
      <c r="T22" s="10">
        <f>SUMIFS(Master!$F$3:$F$532,Master!$C$3:$C$532,T$2,Master!$E$3:$E$532,"&gt;="&amp;$A22,Master!$E$3:$E$532,"&lt;"&amp;($A22+1),Master!$H$3:$H$532,"captured")</f>
        <v>348</v>
      </c>
      <c r="U22" s="10">
        <f>SUMIFS(Master!$F$3:$F$532,Master!$C$3:$C$532,U$2,Master!$E$3:$E$532,"&gt;="&amp;$A22,Master!$E$3:$E$532,"&lt;"&amp;($A22+1),Master!$H$3:$H$532,"captured")</f>
        <v>0</v>
      </c>
      <c r="V22" s="10">
        <f>SUMIFS(Master!$F$3:$F$532,Master!$C$3:$C$532,V$2,Master!$E$3:$E$532,"&gt;="&amp;$A22,Master!$E$3:$E$532,"&lt;"&amp;($A22+1),Master!$H$3:$H$532,"captured")</f>
        <v>49</v>
      </c>
      <c r="W22" s="10">
        <f>SUMIFS(Master!$F$3:$F$532,Master!$C$3:$C$532,W$2,Master!$E$3:$E$532,"&gt;="&amp;$A22,Master!$E$3:$E$532,"&lt;"&amp;($A22+1),Master!$H$3:$H$532,"captured")</f>
        <v>0</v>
      </c>
      <c r="X22" s="10">
        <f>SUMIFS(Master!$F$3:$F$532,Master!$C$3:$C$532,X$2,Master!$E$3:$E$532,"&gt;="&amp;$A22,Master!$E$3:$E$532,"&lt;"&amp;($A22+1),Master!$H$3:$H$532,"captured")</f>
        <v>0</v>
      </c>
      <c r="Y22" s="10">
        <f>SUMIFS(Master!$F$3:$F$532,Master!$C$3:$C$532,Y$2,Master!$E$3:$E$532,"&gt;="&amp;$A22,Master!$E$3:$E$532,"&lt;"&amp;($A22+1),Master!$H$3:$H$532,"captured")</f>
        <v>299</v>
      </c>
      <c r="Z22" s="10">
        <f>SUMIFS(Master!$F$3:$F$532,Master!$C$3:$C$532,Z$2,Master!$E$3:$E$532,"&gt;="&amp;$A22,Master!$E$3:$E$532,"&lt;"&amp;($A22+1),Master!$H$3:$H$532,"captured")</f>
        <v>0</v>
      </c>
      <c r="AA22" s="10">
        <f>SUMIFS(Master!$F$3:$F$532,Master!$C$3:$C$532,AA$2,Master!$E$3:$E$532,"&gt;="&amp;$A22,Master!$E$3:$E$532,"&lt;"&amp;($A22+1),Master!$H$3:$H$532,"captured")</f>
        <v>0</v>
      </c>
      <c r="AB22" s="10">
        <f>SUMIFS(Master!$F$3:$F$532,Master!$C$3:$C$532,AB$2,Master!$E$3:$E$532,"&gt;="&amp;$A22,Master!$E$3:$E$532,"&lt;"&amp;($A22+1),Master!$H$3:$H$532,"captured")</f>
        <v>4999</v>
      </c>
      <c r="AC22" s="10">
        <f>SUMIFS(Master!$F$3:$F$532,Master!$C$3:$C$532,AC$2,Master!$E$3:$E$532,"&gt;="&amp;$A22,Master!$E$3:$E$532,"&lt;"&amp;($A22+1),Master!$H$3:$H$532,"captured")</f>
        <v>0</v>
      </c>
      <c r="AD22" s="10">
        <f>SUMIFS(Master!$F$3:$F$532,Master!$C$3:$C$532,AD$2,Master!$E$3:$E$532,"&gt;="&amp;$A22,Master!$E$3:$E$532,"&lt;"&amp;($A22+1),Master!$H$3:$H$532,"captured")</f>
        <v>249</v>
      </c>
      <c r="AE22" s="10">
        <f>SUMIFS(Master!$F$3:$F$532,Master!$C$3:$C$532,AE$2,Master!$E$3:$E$532,"&gt;="&amp;$A22,Master!$E$3:$E$532,"&lt;"&amp;($A22+1),Master!$H$3:$H$532,"captured")</f>
        <v>0</v>
      </c>
      <c r="AF22" s="10">
        <f>SUMIFS(Master!$F$3:$F$532,Master!$C$3:$C$532,AF$2,Master!$E$3:$E$532,"&gt;="&amp;$A22,Master!$E$3:$E$532,"&lt;"&amp;($A22+1),Master!$H$3:$H$532,"captured")</f>
        <v>0</v>
      </c>
      <c r="AG22" s="10">
        <f>SUMIFS(Master!$F$3:$F$532,Master!$C$3:$C$532,AG$2,Master!$E$3:$E$532,"&gt;="&amp;$A22,Master!$E$3:$E$532,"&lt;"&amp;($A22+1),Master!$H$3:$H$532,"captured")</f>
        <v>0</v>
      </c>
      <c r="AH22" s="10">
        <f>SUMIFS(Master!$F$3:$F$532,Master!$C$3:$C$532,AH$2,Master!$E$3:$E$532,"&gt;="&amp;$A22,Master!$E$3:$E$532,"&lt;"&amp;($A22+1),Master!$H$3:$H$532,"captured")</f>
        <v>499</v>
      </c>
      <c r="AI22" s="10">
        <f>SUMIFS(Master!$F$3:$F$532,Master!$C$3:$C$532,AI$2,Master!$E$3:$E$532,"&gt;="&amp;$A22,Master!$E$3:$E$532,"&lt;"&amp;($A22+1),Master!$H$3:$H$532,"captured")</f>
        <v>0</v>
      </c>
      <c r="AJ22" s="10">
        <f>SUMIFS(Master!$F$3:$F$532,Master!$C$3:$C$532,AJ$2,Master!$E$3:$E$532,"&gt;="&amp;$A22,Master!$E$3:$E$532,"&lt;"&amp;($A22+1),Master!$H$3:$H$532,"captured")</f>
        <v>0</v>
      </c>
      <c r="AK22" s="10">
        <f>SUMIFS(Master!$F$3:$F$532,Master!$C$3:$C$532,AK$2,Master!$E$3:$E$532,"&gt;="&amp;$A22,Master!$E$3:$E$532,"&lt;"&amp;($A22+1),Master!$H$3:$H$532,"captured")</f>
        <v>49</v>
      </c>
      <c r="AL22" s="10">
        <f>SUMIFS(Master!$F$3:$F$532,Master!$C$3:$C$532,AL$2,Master!$E$3:$E$532,"&gt;="&amp;$A22,Master!$E$3:$E$532,"&lt;"&amp;($A22+1),Master!$H$3:$H$532,"captured")</f>
        <v>149</v>
      </c>
      <c r="AM22" s="10">
        <f>SUMIFS(Master!$F$3:$F$532,Master!$C$3:$C$532,AM$2,Master!$E$3:$E$532,"&gt;="&amp;$A22,Master!$E$3:$E$532,"&lt;"&amp;($A22+1),Master!$H$3:$H$532,"captured")</f>
        <v>0</v>
      </c>
      <c r="AN22" s="10">
        <f>SUMIFS(Master!$F$3:$F$532,Master!$C$3:$C$532,AN$2,Master!$E$3:$E$532,"&gt;="&amp;$A22,Master!$E$3:$E$532,"&lt;"&amp;($A22+1),Master!$H$3:$H$532,"captured")</f>
        <v>0</v>
      </c>
      <c r="AO22" s="10">
        <f>SUMIFS(Master!$F$3:$F$532,Master!$C$3:$C$532,AO$2,Master!$E$3:$E$532,"&gt;="&amp;$A22,Master!$E$3:$E$532,"&lt;"&amp;($A22+1),Master!$H$3:$H$532,"captured")</f>
        <v>0</v>
      </c>
    </row>
    <row r="23" spans="1:41" x14ac:dyDescent="0.25">
      <c r="A23" s="9">
        <v>46043</v>
      </c>
      <c r="B23" s="10">
        <f>SUMIFS(Master!$F$3:$F$532,Master!$C$3:$C$532,B$2,Master!$E$3:$E$532,"&gt;="&amp;$A23,Master!$E$3:$E$532,"&lt;"&amp;($A23+1),Master!$H$3:$H$532,"captured")</f>
        <v>0</v>
      </c>
      <c r="C23" s="10">
        <f>SUMIFS(Master!$F$3:$F$532,Master!$C$3:$C$532,C$2,Master!$E$3:$E$532,"&gt;="&amp;$A23,Master!$E$3:$E$532,"&lt;"&amp;($A23+1),Master!$H$3:$H$532,"captured")</f>
        <v>0</v>
      </c>
      <c r="D23" s="10">
        <f>SUMIFS(Master!$F$3:$F$532,Master!$C$3:$C$532,D$2,Master!$E$3:$E$532,"&gt;="&amp;$A23,Master!$E$3:$E$532,"&lt;"&amp;($A23+1),Master!$H$3:$H$532,"captured")</f>
        <v>0</v>
      </c>
      <c r="E23" s="10">
        <f>SUMIFS(Master!$F$3:$F$532,Master!$C$3:$C$532,E$2,Master!$E$3:$E$532,"&gt;="&amp;$A23,Master!$E$3:$E$532,"&lt;"&amp;($A23+1),Master!$H$3:$H$532,"captured")</f>
        <v>0</v>
      </c>
      <c r="F23" s="10">
        <f>SUMIFS(Master!$F$3:$F$532,Master!$C$3:$C$532,F$2,Master!$E$3:$E$532,"&gt;="&amp;$A23,Master!$E$3:$E$532,"&lt;"&amp;($A23+1),Master!$H$3:$H$532,"captured")</f>
        <v>0</v>
      </c>
      <c r="G23" s="10">
        <f>SUMIFS(Master!$F$3:$F$532,Master!$C$3:$C$532,G$2,Master!$E$3:$E$532,"&gt;="&amp;$A23,Master!$E$3:$E$532,"&lt;"&amp;($A23+1),Master!$H$3:$H$532,"captured")</f>
        <v>49</v>
      </c>
      <c r="H23" s="10">
        <f>SUMIFS(Master!$F$3:$F$532,Master!$C$3:$C$532,H$2,Master!$E$3:$E$532,"&gt;="&amp;$A23,Master!$E$3:$E$532,"&lt;"&amp;($A23+1),Master!$H$3:$H$532,"captured")</f>
        <v>1499</v>
      </c>
      <c r="I23" s="10">
        <f>SUMIFS(Master!$F$3:$F$532,Master!$C$3:$C$532,I$2,Master!$E$3:$E$532,"&gt;="&amp;$A23,Master!$E$3:$E$532,"&lt;"&amp;($A23+1),Master!$H$3:$H$532,"captured")</f>
        <v>0</v>
      </c>
      <c r="J23" s="10">
        <f>SUMIFS(Master!$F$3:$F$532,Master!$C$3:$C$532,J$2,Master!$E$3:$E$532,"&gt;="&amp;$A23,Master!$E$3:$E$532,"&lt;"&amp;($A23+1),Master!$H$3:$H$532,"captured")</f>
        <v>0</v>
      </c>
      <c r="K23" s="10">
        <f>SUMIFS(Master!$F$3:$F$532,Master!$C$3:$C$532,K$2,Master!$E$3:$E$532,"&gt;="&amp;$A23,Master!$E$3:$E$532,"&lt;"&amp;($A23+1),Master!$H$3:$H$532,"captured")</f>
        <v>398</v>
      </c>
      <c r="L23" s="10">
        <f>SUMIFS(Master!$F$3:$F$532,Master!$C$3:$C$532,L$2,Master!$E$3:$E$532,"&gt;="&amp;$A23,Master!$E$3:$E$532,"&lt;"&amp;($A23+1),Master!$H$3:$H$532,"captured")</f>
        <v>149</v>
      </c>
      <c r="M23" s="10">
        <f>SUMIFS(Master!$F$3:$F$532,Master!$C$3:$C$532,M$2,Master!$E$3:$E$532,"&gt;="&amp;$A23,Master!$E$3:$E$532,"&lt;"&amp;($A23+1),Master!$H$3:$H$532,"captured")</f>
        <v>0</v>
      </c>
      <c r="N23" s="10">
        <f>SUMIFS(Master!$F$3:$F$532,Master!$C$3:$C$532,N$2,Master!$E$3:$E$532,"&gt;="&amp;$A23,Master!$E$3:$E$532,"&lt;"&amp;($A23+1),Master!$H$3:$H$532,"captured")</f>
        <v>0</v>
      </c>
      <c r="O23" s="10">
        <f>SUMIFS(Master!$F$3:$F$532,Master!$C$3:$C$532,O$2,Master!$E$3:$E$532,"&gt;="&amp;$A23,Master!$E$3:$E$532,"&lt;"&amp;($A23+1),Master!$H$3:$H$532,"captured")</f>
        <v>0</v>
      </c>
      <c r="P23" s="10">
        <f>SUMIFS(Master!$F$3:$F$532,Master!$C$3:$C$532,P$2,Master!$E$3:$E$532,"&gt;="&amp;$A23,Master!$E$3:$E$532,"&lt;"&amp;($A23+1),Master!$H$3:$H$532,"captured")</f>
        <v>0</v>
      </c>
      <c r="Q23" s="10">
        <f>SUMIFS(Master!$F$3:$F$532,Master!$C$3:$C$532,Q$2,Master!$E$3:$E$532,"&gt;="&amp;$A23,Master!$E$3:$E$532,"&lt;"&amp;($A23+1),Master!$H$3:$H$532,"captured")</f>
        <v>0</v>
      </c>
      <c r="R23" s="10">
        <f>SUMIFS(Master!$F$3:$F$532,Master!$C$3:$C$532,R$2,Master!$E$3:$E$532,"&gt;="&amp;$A23,Master!$E$3:$E$532,"&lt;"&amp;($A23+1),Master!$H$3:$H$532,"captured")</f>
        <v>0</v>
      </c>
      <c r="S23" s="10">
        <f>SUMIFS(Master!$F$3:$F$532,Master!$C$3:$C$532,S$2,Master!$E$3:$E$532,"&gt;="&amp;$A23,Master!$E$3:$E$532,"&lt;"&amp;($A23+1),Master!$H$3:$H$532,"captured")</f>
        <v>0</v>
      </c>
      <c r="T23" s="10">
        <f>SUMIFS(Master!$F$3:$F$532,Master!$C$3:$C$532,T$2,Master!$E$3:$E$532,"&gt;="&amp;$A23,Master!$E$3:$E$532,"&lt;"&amp;($A23+1),Master!$H$3:$H$532,"captured")</f>
        <v>0</v>
      </c>
      <c r="U23" s="10">
        <f>SUMIFS(Master!$F$3:$F$532,Master!$C$3:$C$532,U$2,Master!$E$3:$E$532,"&gt;="&amp;$A23,Master!$E$3:$E$532,"&lt;"&amp;($A23+1),Master!$H$3:$H$532,"captured")</f>
        <v>99</v>
      </c>
      <c r="V23" s="10">
        <f>SUMIFS(Master!$F$3:$F$532,Master!$C$3:$C$532,V$2,Master!$E$3:$E$532,"&gt;="&amp;$A23,Master!$E$3:$E$532,"&lt;"&amp;($A23+1),Master!$H$3:$H$532,"captured")</f>
        <v>49</v>
      </c>
      <c r="W23" s="10">
        <f>SUMIFS(Master!$F$3:$F$532,Master!$C$3:$C$532,W$2,Master!$E$3:$E$532,"&gt;="&amp;$A23,Master!$E$3:$E$532,"&lt;"&amp;($A23+1),Master!$H$3:$H$532,"captured")</f>
        <v>0</v>
      </c>
      <c r="X23" s="10">
        <f>SUMIFS(Master!$F$3:$F$532,Master!$C$3:$C$532,X$2,Master!$E$3:$E$532,"&gt;="&amp;$A23,Master!$E$3:$E$532,"&lt;"&amp;($A23+1),Master!$H$3:$H$532,"captured")</f>
        <v>0</v>
      </c>
      <c r="Y23" s="10">
        <f>SUMIFS(Master!$F$3:$F$532,Master!$C$3:$C$532,Y$2,Master!$E$3:$E$532,"&gt;="&amp;$A23,Master!$E$3:$E$532,"&lt;"&amp;($A23+1),Master!$H$3:$H$532,"captured")</f>
        <v>799</v>
      </c>
      <c r="Z23" s="10">
        <f>SUMIFS(Master!$F$3:$F$532,Master!$C$3:$C$532,Z$2,Master!$E$3:$E$532,"&gt;="&amp;$A23,Master!$E$3:$E$532,"&lt;"&amp;($A23+1),Master!$H$3:$H$532,"captured")</f>
        <v>0</v>
      </c>
      <c r="AA23" s="10">
        <f>SUMIFS(Master!$F$3:$F$532,Master!$C$3:$C$532,AA$2,Master!$E$3:$E$532,"&gt;="&amp;$A23,Master!$E$3:$E$532,"&lt;"&amp;($A23+1),Master!$H$3:$H$532,"captured")</f>
        <v>0</v>
      </c>
      <c r="AB23" s="10">
        <f>SUMIFS(Master!$F$3:$F$532,Master!$C$3:$C$532,AB$2,Master!$E$3:$E$532,"&gt;="&amp;$A23,Master!$E$3:$E$532,"&lt;"&amp;($A23+1),Master!$H$3:$H$532,"captured")</f>
        <v>549</v>
      </c>
      <c r="AC23" s="10">
        <f>SUMIFS(Master!$F$3:$F$532,Master!$C$3:$C$532,AC$2,Master!$E$3:$E$532,"&gt;="&amp;$A23,Master!$E$3:$E$532,"&lt;"&amp;($A23+1),Master!$H$3:$H$532,"captured")</f>
        <v>0</v>
      </c>
      <c r="AD23" s="10">
        <f>SUMIFS(Master!$F$3:$F$532,Master!$C$3:$C$532,AD$2,Master!$E$3:$E$532,"&gt;="&amp;$A23,Master!$E$3:$E$532,"&lt;"&amp;($A23+1),Master!$H$3:$H$532,"captured")</f>
        <v>0</v>
      </c>
      <c r="AE23" s="10">
        <f>SUMIFS(Master!$F$3:$F$532,Master!$C$3:$C$532,AE$2,Master!$E$3:$E$532,"&gt;="&amp;$A23,Master!$E$3:$E$532,"&lt;"&amp;($A23+1),Master!$H$3:$H$532,"captured")</f>
        <v>0</v>
      </c>
      <c r="AF23" s="10">
        <f>SUMIFS(Master!$F$3:$F$532,Master!$C$3:$C$532,AF$2,Master!$E$3:$E$532,"&gt;="&amp;$A23,Master!$E$3:$E$532,"&lt;"&amp;($A23+1),Master!$H$3:$H$532,"captured")</f>
        <v>49</v>
      </c>
      <c r="AG23" s="10">
        <f>SUMIFS(Master!$F$3:$F$532,Master!$C$3:$C$532,AG$2,Master!$E$3:$E$532,"&gt;="&amp;$A23,Master!$E$3:$E$532,"&lt;"&amp;($A23+1),Master!$H$3:$H$532,"captured")</f>
        <v>5347</v>
      </c>
      <c r="AH23" s="10">
        <f>SUMIFS(Master!$F$3:$F$532,Master!$C$3:$C$532,AH$2,Master!$E$3:$E$532,"&gt;="&amp;$A23,Master!$E$3:$E$532,"&lt;"&amp;($A23+1),Master!$H$3:$H$532,"captured")</f>
        <v>3298</v>
      </c>
      <c r="AI23" s="10">
        <f>SUMIFS(Master!$F$3:$F$532,Master!$C$3:$C$532,AI$2,Master!$E$3:$E$532,"&gt;="&amp;$A23,Master!$E$3:$E$532,"&lt;"&amp;($A23+1),Master!$H$3:$H$532,"captured")</f>
        <v>799</v>
      </c>
      <c r="AJ23" s="10">
        <f>SUMIFS(Master!$F$3:$F$532,Master!$C$3:$C$532,AJ$2,Master!$E$3:$E$532,"&gt;="&amp;$A23,Master!$E$3:$E$532,"&lt;"&amp;($A23+1),Master!$H$3:$H$532,"captured")</f>
        <v>299</v>
      </c>
      <c r="AK23" s="10">
        <f>SUMIFS(Master!$F$3:$F$532,Master!$C$3:$C$532,AK$2,Master!$E$3:$E$532,"&gt;="&amp;$A23,Master!$E$3:$E$532,"&lt;"&amp;($A23+1),Master!$H$3:$H$532,"captured")</f>
        <v>0</v>
      </c>
      <c r="AL23" s="10">
        <f>SUMIFS(Master!$F$3:$F$532,Master!$C$3:$C$532,AL$2,Master!$E$3:$E$532,"&gt;="&amp;$A23,Master!$E$3:$E$532,"&lt;"&amp;($A23+1),Master!$H$3:$H$532,"captured")</f>
        <v>99</v>
      </c>
      <c r="AM23" s="10">
        <f>SUMIFS(Master!$F$3:$F$532,Master!$C$3:$C$532,AM$2,Master!$E$3:$E$532,"&gt;="&amp;$A23,Master!$E$3:$E$532,"&lt;"&amp;($A23+1),Master!$H$3:$H$532,"captured")</f>
        <v>0</v>
      </c>
      <c r="AN23" s="10">
        <f>SUMIFS(Master!$F$3:$F$532,Master!$C$3:$C$532,AN$2,Master!$E$3:$E$532,"&gt;="&amp;$A23,Master!$E$3:$E$532,"&lt;"&amp;($A23+1),Master!$H$3:$H$532,"captured")</f>
        <v>0</v>
      </c>
      <c r="AO23" s="10">
        <f>SUMIFS(Master!$F$3:$F$532,Master!$C$3:$C$532,AO$2,Master!$E$3:$E$532,"&gt;="&amp;$A23,Master!$E$3:$E$532,"&lt;"&amp;($A23+1),Master!$H$3:$H$532,"captured")</f>
        <v>0</v>
      </c>
    </row>
    <row r="24" spans="1:41" x14ac:dyDescent="0.25">
      <c r="A24" s="9">
        <v>46044</v>
      </c>
      <c r="B24" s="10">
        <f>SUMIFS(Master!$F$3:$F$532,Master!$C$3:$C$532,B$2,Master!$E$3:$E$532,"&gt;="&amp;$A24,Master!$E$3:$E$532,"&lt;"&amp;($A24+1),Master!$H$3:$H$532,"captured")</f>
        <v>0</v>
      </c>
      <c r="C24" s="10">
        <f>SUMIFS(Master!$F$3:$F$532,Master!$C$3:$C$532,C$2,Master!$E$3:$E$532,"&gt;="&amp;$A24,Master!$E$3:$E$532,"&lt;"&amp;($A24+1),Master!$H$3:$H$532,"captured")</f>
        <v>299</v>
      </c>
      <c r="D24" s="10">
        <f>SUMIFS(Master!$F$3:$F$532,Master!$C$3:$C$532,D$2,Master!$E$3:$E$532,"&gt;="&amp;$A24,Master!$E$3:$E$532,"&lt;"&amp;($A24+1),Master!$H$3:$H$532,"captured")</f>
        <v>499</v>
      </c>
      <c r="E24" s="10">
        <f>SUMIFS(Master!$F$3:$F$532,Master!$C$3:$C$532,E$2,Master!$E$3:$E$532,"&gt;="&amp;$A24,Master!$E$3:$E$532,"&lt;"&amp;($A24+1),Master!$H$3:$H$532,"captured")</f>
        <v>0</v>
      </c>
      <c r="F24" s="10">
        <f>SUMIFS(Master!$F$3:$F$532,Master!$C$3:$C$532,F$2,Master!$E$3:$E$532,"&gt;="&amp;$A24,Master!$E$3:$E$532,"&lt;"&amp;($A24+1),Master!$H$3:$H$532,"captured")</f>
        <v>0</v>
      </c>
      <c r="G24" s="10">
        <f>SUMIFS(Master!$F$3:$F$532,Master!$C$3:$C$532,G$2,Master!$E$3:$E$532,"&gt;="&amp;$A24,Master!$E$3:$E$532,"&lt;"&amp;($A24+1),Master!$H$3:$H$532,"captured")</f>
        <v>0</v>
      </c>
      <c r="H24" s="10">
        <f>SUMIFS(Master!$F$3:$F$532,Master!$C$3:$C$532,H$2,Master!$E$3:$E$532,"&gt;="&amp;$A24,Master!$E$3:$E$532,"&lt;"&amp;($A24+1),Master!$H$3:$H$532,"captured")</f>
        <v>0</v>
      </c>
      <c r="I24" s="10">
        <f>SUMIFS(Master!$F$3:$F$532,Master!$C$3:$C$532,I$2,Master!$E$3:$E$532,"&gt;="&amp;$A24,Master!$E$3:$E$532,"&lt;"&amp;($A24+1),Master!$H$3:$H$532,"captured")</f>
        <v>0</v>
      </c>
      <c r="J24" s="10">
        <f>SUMIFS(Master!$F$3:$F$532,Master!$C$3:$C$532,J$2,Master!$E$3:$E$532,"&gt;="&amp;$A24,Master!$E$3:$E$532,"&lt;"&amp;($A24+1),Master!$H$3:$H$532,"captured")</f>
        <v>799</v>
      </c>
      <c r="K24" s="10">
        <f>SUMIFS(Master!$F$3:$F$532,Master!$C$3:$C$532,K$2,Master!$E$3:$E$532,"&gt;="&amp;$A24,Master!$E$3:$E$532,"&lt;"&amp;($A24+1),Master!$H$3:$H$532,"captured")</f>
        <v>0</v>
      </c>
      <c r="L24" s="10">
        <f>SUMIFS(Master!$F$3:$F$532,Master!$C$3:$C$532,L$2,Master!$E$3:$E$532,"&gt;="&amp;$A24,Master!$E$3:$E$532,"&lt;"&amp;($A24+1),Master!$H$3:$H$532,"captured")</f>
        <v>0</v>
      </c>
      <c r="M24" s="10">
        <f>SUMIFS(Master!$F$3:$F$532,Master!$C$3:$C$532,M$2,Master!$E$3:$E$532,"&gt;="&amp;$A24,Master!$E$3:$E$532,"&lt;"&amp;($A24+1),Master!$H$3:$H$532,"captured")</f>
        <v>99</v>
      </c>
      <c r="N24" s="10">
        <f>SUMIFS(Master!$F$3:$F$532,Master!$C$3:$C$532,N$2,Master!$E$3:$E$532,"&gt;="&amp;$A24,Master!$E$3:$E$532,"&lt;"&amp;($A24+1),Master!$H$3:$H$532,"captured")</f>
        <v>0</v>
      </c>
      <c r="O24" s="10">
        <f>SUMIFS(Master!$F$3:$F$532,Master!$C$3:$C$532,O$2,Master!$E$3:$E$532,"&gt;="&amp;$A24,Master!$E$3:$E$532,"&lt;"&amp;($A24+1),Master!$H$3:$H$532,"captured")</f>
        <v>0</v>
      </c>
      <c r="P24" s="10">
        <f>SUMIFS(Master!$F$3:$F$532,Master!$C$3:$C$532,P$2,Master!$E$3:$E$532,"&gt;="&amp;$A24,Master!$E$3:$E$532,"&lt;"&amp;($A24+1),Master!$H$3:$H$532,"captured")</f>
        <v>0</v>
      </c>
      <c r="Q24" s="10">
        <f>SUMIFS(Master!$F$3:$F$532,Master!$C$3:$C$532,Q$2,Master!$E$3:$E$532,"&gt;="&amp;$A24,Master!$E$3:$E$532,"&lt;"&amp;($A24+1),Master!$H$3:$H$532,"captured")</f>
        <v>0</v>
      </c>
      <c r="R24" s="10">
        <f>SUMIFS(Master!$F$3:$F$532,Master!$C$3:$C$532,R$2,Master!$E$3:$E$532,"&gt;="&amp;$A24,Master!$E$3:$E$532,"&lt;"&amp;($A24+1),Master!$H$3:$H$532,"captured")</f>
        <v>0</v>
      </c>
      <c r="S24" s="10">
        <f>SUMIFS(Master!$F$3:$F$532,Master!$C$3:$C$532,S$2,Master!$E$3:$E$532,"&gt;="&amp;$A24,Master!$E$3:$E$532,"&lt;"&amp;($A24+1),Master!$H$3:$H$532,"captured")</f>
        <v>0</v>
      </c>
      <c r="T24" s="10">
        <f>SUMIFS(Master!$F$3:$F$532,Master!$C$3:$C$532,T$2,Master!$E$3:$E$532,"&gt;="&amp;$A24,Master!$E$3:$E$532,"&lt;"&amp;($A24+1),Master!$H$3:$H$532,"captured")</f>
        <v>2999</v>
      </c>
      <c r="U24" s="10">
        <f>SUMIFS(Master!$F$3:$F$532,Master!$C$3:$C$532,U$2,Master!$E$3:$E$532,"&gt;="&amp;$A24,Master!$E$3:$E$532,"&lt;"&amp;($A24+1),Master!$H$3:$H$532,"captured")</f>
        <v>0</v>
      </c>
      <c r="V24" s="10">
        <f>SUMIFS(Master!$F$3:$F$532,Master!$C$3:$C$532,V$2,Master!$E$3:$E$532,"&gt;="&amp;$A24,Master!$E$3:$E$532,"&lt;"&amp;($A24+1),Master!$H$3:$H$532,"captured")</f>
        <v>0</v>
      </c>
      <c r="W24" s="10">
        <f>SUMIFS(Master!$F$3:$F$532,Master!$C$3:$C$532,W$2,Master!$E$3:$E$532,"&gt;="&amp;$A24,Master!$E$3:$E$532,"&lt;"&amp;($A24+1),Master!$H$3:$H$532,"captured")</f>
        <v>0</v>
      </c>
      <c r="X24" s="10">
        <f>SUMIFS(Master!$F$3:$F$532,Master!$C$3:$C$532,X$2,Master!$E$3:$E$532,"&gt;="&amp;$A24,Master!$E$3:$E$532,"&lt;"&amp;($A24+1),Master!$H$3:$H$532,"captured")</f>
        <v>49</v>
      </c>
      <c r="Y24" s="10">
        <f>SUMIFS(Master!$F$3:$F$532,Master!$C$3:$C$532,Y$2,Master!$E$3:$E$532,"&gt;="&amp;$A24,Master!$E$3:$E$532,"&lt;"&amp;($A24+1),Master!$H$3:$H$532,"captured")</f>
        <v>49</v>
      </c>
      <c r="Z24" s="10">
        <f>SUMIFS(Master!$F$3:$F$532,Master!$C$3:$C$532,Z$2,Master!$E$3:$E$532,"&gt;="&amp;$A24,Master!$E$3:$E$532,"&lt;"&amp;($A24+1),Master!$H$3:$H$532,"captured")</f>
        <v>0</v>
      </c>
      <c r="AA24" s="10">
        <f>SUMIFS(Master!$F$3:$F$532,Master!$C$3:$C$532,AA$2,Master!$E$3:$E$532,"&gt;="&amp;$A24,Master!$E$3:$E$532,"&lt;"&amp;($A24+1),Master!$H$3:$H$532,"captured")</f>
        <v>499</v>
      </c>
      <c r="AB24" s="10">
        <f>SUMIFS(Master!$F$3:$F$532,Master!$C$3:$C$532,AB$2,Master!$E$3:$E$532,"&gt;="&amp;$A24,Master!$E$3:$E$532,"&lt;"&amp;($A24+1),Master!$H$3:$H$532,"captured")</f>
        <v>49</v>
      </c>
      <c r="AC24" s="10">
        <f>SUMIFS(Master!$F$3:$F$532,Master!$C$3:$C$532,AC$2,Master!$E$3:$E$532,"&gt;="&amp;$A24,Master!$E$3:$E$532,"&lt;"&amp;($A24+1),Master!$H$3:$H$532,"captured")</f>
        <v>99</v>
      </c>
      <c r="AD24" s="10">
        <f>SUMIFS(Master!$F$3:$F$532,Master!$C$3:$C$532,AD$2,Master!$E$3:$E$532,"&gt;="&amp;$A24,Master!$E$3:$E$532,"&lt;"&amp;($A24+1),Master!$H$3:$H$532,"captured")</f>
        <v>0</v>
      </c>
      <c r="AE24" s="10">
        <f>SUMIFS(Master!$F$3:$F$532,Master!$C$3:$C$532,AE$2,Master!$E$3:$E$532,"&gt;="&amp;$A24,Master!$E$3:$E$532,"&lt;"&amp;($A24+1),Master!$H$3:$H$532,"captured")</f>
        <v>0</v>
      </c>
      <c r="AF24" s="10">
        <f>SUMIFS(Master!$F$3:$F$532,Master!$C$3:$C$532,AF$2,Master!$E$3:$E$532,"&gt;="&amp;$A24,Master!$E$3:$E$532,"&lt;"&amp;($A24+1),Master!$H$3:$H$532,"captured")</f>
        <v>99</v>
      </c>
      <c r="AG24" s="10">
        <f>SUMIFS(Master!$F$3:$F$532,Master!$C$3:$C$532,AG$2,Master!$E$3:$E$532,"&gt;="&amp;$A24,Master!$E$3:$E$532,"&lt;"&amp;($A24+1),Master!$H$3:$H$532,"captured")</f>
        <v>0</v>
      </c>
      <c r="AH24" s="10">
        <f>SUMIFS(Master!$F$3:$F$532,Master!$C$3:$C$532,AH$2,Master!$E$3:$E$532,"&gt;="&amp;$A24,Master!$E$3:$E$532,"&lt;"&amp;($A24+1),Master!$H$3:$H$532,"captured")</f>
        <v>99</v>
      </c>
      <c r="AI24" s="10">
        <f>SUMIFS(Master!$F$3:$F$532,Master!$C$3:$C$532,AI$2,Master!$E$3:$E$532,"&gt;="&amp;$A24,Master!$E$3:$E$532,"&lt;"&amp;($A24+1),Master!$H$3:$H$532,"captured")</f>
        <v>299</v>
      </c>
      <c r="AJ24" s="10">
        <f>SUMIFS(Master!$F$3:$F$532,Master!$C$3:$C$532,AJ$2,Master!$E$3:$E$532,"&gt;="&amp;$A24,Master!$E$3:$E$532,"&lt;"&amp;($A24+1),Master!$H$3:$H$532,"captured")</f>
        <v>299</v>
      </c>
      <c r="AK24" s="10">
        <f>SUMIFS(Master!$F$3:$F$532,Master!$C$3:$C$532,AK$2,Master!$E$3:$E$532,"&gt;="&amp;$A24,Master!$E$3:$E$532,"&lt;"&amp;($A24+1),Master!$H$3:$H$532,"captured")</f>
        <v>0</v>
      </c>
      <c r="AL24" s="10">
        <f>SUMIFS(Master!$F$3:$F$532,Master!$C$3:$C$532,AL$2,Master!$E$3:$E$532,"&gt;="&amp;$A24,Master!$E$3:$E$532,"&lt;"&amp;($A24+1),Master!$H$3:$H$532,"captured")</f>
        <v>0</v>
      </c>
      <c r="AM24" s="10">
        <f>SUMIFS(Master!$F$3:$F$532,Master!$C$3:$C$532,AM$2,Master!$E$3:$E$532,"&gt;="&amp;$A24,Master!$E$3:$E$532,"&lt;"&amp;($A24+1),Master!$H$3:$H$532,"captured")</f>
        <v>299</v>
      </c>
      <c r="AN24" s="10">
        <f>SUMIFS(Master!$F$3:$F$532,Master!$C$3:$C$532,AN$2,Master!$E$3:$E$532,"&gt;="&amp;$A24,Master!$E$3:$E$532,"&lt;"&amp;($A24+1),Master!$H$3:$H$532,"captured")</f>
        <v>799</v>
      </c>
      <c r="AO24" s="10">
        <f>SUMIFS(Master!$F$3:$F$532,Master!$C$3:$C$532,AO$2,Master!$E$3:$E$532,"&gt;="&amp;$A24,Master!$E$3:$E$532,"&lt;"&amp;($A24+1),Master!$H$3:$H$532,"captured")</f>
        <v>0</v>
      </c>
    </row>
    <row r="25" spans="1:41" x14ac:dyDescent="0.25">
      <c r="A25" s="9">
        <v>46045</v>
      </c>
      <c r="B25" s="10">
        <f>SUMIFS(Master!$F$3:$F$532,Master!$C$3:$C$532,B$2,Master!$E$3:$E$532,"&gt;="&amp;$A25,Master!$E$3:$E$532,"&lt;"&amp;($A25+1),Master!$H$3:$H$532,"captured")</f>
        <v>3148</v>
      </c>
      <c r="C25" s="10">
        <f>SUMIFS(Master!$F$3:$F$532,Master!$C$3:$C$532,C$2,Master!$E$3:$E$532,"&gt;="&amp;$A25,Master!$E$3:$E$532,"&lt;"&amp;($A25+1),Master!$H$3:$H$532,"captured")</f>
        <v>0</v>
      </c>
      <c r="D25" s="10">
        <f>SUMIFS(Master!$F$3:$F$532,Master!$C$3:$C$532,D$2,Master!$E$3:$E$532,"&gt;="&amp;$A25,Master!$E$3:$E$532,"&lt;"&amp;($A25+1),Master!$H$3:$H$532,"captured")</f>
        <v>49</v>
      </c>
      <c r="E25" s="10">
        <f>SUMIFS(Master!$F$3:$F$532,Master!$C$3:$C$532,E$2,Master!$E$3:$E$532,"&gt;="&amp;$A25,Master!$E$3:$E$532,"&lt;"&amp;($A25+1),Master!$H$3:$H$532,"captured")</f>
        <v>0</v>
      </c>
      <c r="F25" s="10">
        <f>SUMIFS(Master!$F$3:$F$532,Master!$C$3:$C$532,F$2,Master!$E$3:$E$532,"&gt;="&amp;$A25,Master!$E$3:$E$532,"&lt;"&amp;($A25+1),Master!$H$3:$H$532,"captured")</f>
        <v>0</v>
      </c>
      <c r="G25" s="10">
        <f>SUMIFS(Master!$F$3:$F$532,Master!$C$3:$C$532,G$2,Master!$E$3:$E$532,"&gt;="&amp;$A25,Master!$E$3:$E$532,"&lt;"&amp;($A25+1),Master!$H$3:$H$532,"captured")</f>
        <v>0</v>
      </c>
      <c r="H25" s="10">
        <f>SUMIFS(Master!$F$3:$F$532,Master!$C$3:$C$532,H$2,Master!$E$3:$E$532,"&gt;="&amp;$A25,Master!$E$3:$E$532,"&lt;"&amp;($A25+1),Master!$H$3:$H$532,"captured")</f>
        <v>0</v>
      </c>
      <c r="I25" s="10">
        <f>SUMIFS(Master!$F$3:$F$532,Master!$C$3:$C$532,I$2,Master!$E$3:$E$532,"&gt;="&amp;$A25,Master!$E$3:$E$532,"&lt;"&amp;($A25+1),Master!$H$3:$H$532,"captured")</f>
        <v>0</v>
      </c>
      <c r="J25" s="10">
        <f>SUMIFS(Master!$F$3:$F$532,Master!$C$3:$C$532,J$2,Master!$E$3:$E$532,"&gt;="&amp;$A25,Master!$E$3:$E$532,"&lt;"&amp;($A25+1),Master!$H$3:$H$532,"captured")</f>
        <v>499</v>
      </c>
      <c r="K25" s="10">
        <f>SUMIFS(Master!$F$3:$F$532,Master!$C$3:$C$532,K$2,Master!$E$3:$E$532,"&gt;="&amp;$A25,Master!$E$3:$E$532,"&lt;"&amp;($A25+1),Master!$H$3:$H$532,"captured")</f>
        <v>0</v>
      </c>
      <c r="L25" s="10">
        <f>SUMIFS(Master!$F$3:$F$532,Master!$C$3:$C$532,L$2,Master!$E$3:$E$532,"&gt;="&amp;$A25,Master!$E$3:$E$532,"&lt;"&amp;($A25+1),Master!$H$3:$H$532,"captured")</f>
        <v>0</v>
      </c>
      <c r="M25" s="10">
        <f>SUMIFS(Master!$F$3:$F$532,Master!$C$3:$C$532,M$2,Master!$E$3:$E$532,"&gt;="&amp;$A25,Master!$E$3:$E$532,"&lt;"&amp;($A25+1),Master!$H$3:$H$532,"captured")</f>
        <v>448</v>
      </c>
      <c r="N25" s="10">
        <f>SUMIFS(Master!$F$3:$F$532,Master!$C$3:$C$532,N$2,Master!$E$3:$E$532,"&gt;="&amp;$A25,Master!$E$3:$E$532,"&lt;"&amp;($A25+1),Master!$H$3:$H$532,"captured")</f>
        <v>0</v>
      </c>
      <c r="O25" s="10">
        <f>SUMIFS(Master!$F$3:$F$532,Master!$C$3:$C$532,O$2,Master!$E$3:$E$532,"&gt;="&amp;$A25,Master!$E$3:$E$532,"&lt;"&amp;($A25+1),Master!$H$3:$H$532,"captured")</f>
        <v>0</v>
      </c>
      <c r="P25" s="10">
        <f>SUMIFS(Master!$F$3:$F$532,Master!$C$3:$C$532,P$2,Master!$E$3:$E$532,"&gt;="&amp;$A25,Master!$E$3:$E$532,"&lt;"&amp;($A25+1),Master!$H$3:$H$532,"captured")</f>
        <v>0</v>
      </c>
      <c r="Q25" s="10">
        <f>SUMIFS(Master!$F$3:$F$532,Master!$C$3:$C$532,Q$2,Master!$E$3:$E$532,"&gt;="&amp;$A25,Master!$E$3:$E$532,"&lt;"&amp;($A25+1),Master!$H$3:$H$532,"captured")</f>
        <v>0</v>
      </c>
      <c r="R25" s="10">
        <f>SUMIFS(Master!$F$3:$F$532,Master!$C$3:$C$532,R$2,Master!$E$3:$E$532,"&gt;="&amp;$A25,Master!$E$3:$E$532,"&lt;"&amp;($A25+1),Master!$H$3:$H$532,"captured")</f>
        <v>0</v>
      </c>
      <c r="S25" s="10">
        <f>SUMIFS(Master!$F$3:$F$532,Master!$C$3:$C$532,S$2,Master!$E$3:$E$532,"&gt;="&amp;$A25,Master!$E$3:$E$532,"&lt;"&amp;($A25+1),Master!$H$3:$H$532,"captured")</f>
        <v>0</v>
      </c>
      <c r="T25" s="10">
        <f>SUMIFS(Master!$F$3:$F$532,Master!$C$3:$C$532,T$2,Master!$E$3:$E$532,"&gt;="&amp;$A25,Master!$E$3:$E$532,"&lt;"&amp;($A25+1),Master!$H$3:$H$532,"captured")</f>
        <v>0</v>
      </c>
      <c r="U25" s="10">
        <f>SUMIFS(Master!$F$3:$F$532,Master!$C$3:$C$532,U$2,Master!$E$3:$E$532,"&gt;="&amp;$A25,Master!$E$3:$E$532,"&lt;"&amp;($A25+1),Master!$H$3:$H$532,"captured")</f>
        <v>49</v>
      </c>
      <c r="V25" s="10">
        <f>SUMIFS(Master!$F$3:$F$532,Master!$C$3:$C$532,V$2,Master!$E$3:$E$532,"&gt;="&amp;$A25,Master!$E$3:$E$532,"&lt;"&amp;($A25+1),Master!$H$3:$H$532,"captured")</f>
        <v>0</v>
      </c>
      <c r="W25" s="10">
        <f>SUMIFS(Master!$F$3:$F$532,Master!$C$3:$C$532,W$2,Master!$E$3:$E$532,"&gt;="&amp;$A25,Master!$E$3:$E$532,"&lt;"&amp;($A25+1),Master!$H$3:$H$532,"captured")</f>
        <v>49</v>
      </c>
      <c r="X25" s="10">
        <f>SUMIFS(Master!$F$3:$F$532,Master!$C$3:$C$532,X$2,Master!$E$3:$E$532,"&gt;="&amp;$A25,Master!$E$3:$E$532,"&lt;"&amp;($A25+1),Master!$H$3:$H$532,"captured")</f>
        <v>247</v>
      </c>
      <c r="Y25" s="10">
        <f>SUMIFS(Master!$F$3:$F$532,Master!$C$3:$C$532,Y$2,Master!$E$3:$E$532,"&gt;="&amp;$A25,Master!$E$3:$E$532,"&lt;"&amp;($A25+1),Master!$H$3:$H$532,"captured")</f>
        <v>0</v>
      </c>
      <c r="Z25" s="10">
        <f>SUMIFS(Master!$F$3:$F$532,Master!$C$3:$C$532,Z$2,Master!$E$3:$E$532,"&gt;="&amp;$A25,Master!$E$3:$E$532,"&lt;"&amp;($A25+1),Master!$H$3:$H$532,"captured")</f>
        <v>0</v>
      </c>
      <c r="AA25" s="10">
        <f>SUMIFS(Master!$F$3:$F$532,Master!$C$3:$C$532,AA$2,Master!$E$3:$E$532,"&gt;="&amp;$A25,Master!$E$3:$E$532,"&lt;"&amp;($A25+1),Master!$H$3:$H$532,"captured")</f>
        <v>99</v>
      </c>
      <c r="AB25" s="10">
        <f>SUMIFS(Master!$F$3:$F$532,Master!$C$3:$C$532,AB$2,Master!$E$3:$E$532,"&gt;="&amp;$A25,Master!$E$3:$E$532,"&lt;"&amp;($A25+1),Master!$H$3:$H$532,"captured")</f>
        <v>2999</v>
      </c>
      <c r="AC25" s="10">
        <f>SUMIFS(Master!$F$3:$F$532,Master!$C$3:$C$532,AC$2,Master!$E$3:$E$532,"&gt;="&amp;$A25,Master!$E$3:$E$532,"&lt;"&amp;($A25+1),Master!$H$3:$H$532,"captured")</f>
        <v>0</v>
      </c>
      <c r="AD25" s="10">
        <f>SUMIFS(Master!$F$3:$F$532,Master!$C$3:$C$532,AD$2,Master!$E$3:$E$532,"&gt;="&amp;$A25,Master!$E$3:$E$532,"&lt;"&amp;($A25+1),Master!$H$3:$H$532,"captured")</f>
        <v>0</v>
      </c>
      <c r="AE25" s="10">
        <f>SUMIFS(Master!$F$3:$F$532,Master!$C$3:$C$532,AE$2,Master!$E$3:$E$532,"&gt;="&amp;$A25,Master!$E$3:$E$532,"&lt;"&amp;($A25+1),Master!$H$3:$H$532,"captured")</f>
        <v>0</v>
      </c>
      <c r="AF25" s="10">
        <f>SUMIFS(Master!$F$3:$F$532,Master!$C$3:$C$532,AF$2,Master!$E$3:$E$532,"&gt;="&amp;$A25,Master!$E$3:$E$532,"&lt;"&amp;($A25+1),Master!$H$3:$H$532,"captured")</f>
        <v>0</v>
      </c>
      <c r="AG25" s="10">
        <f>SUMIFS(Master!$F$3:$F$532,Master!$C$3:$C$532,AG$2,Master!$E$3:$E$532,"&gt;="&amp;$A25,Master!$E$3:$E$532,"&lt;"&amp;($A25+1),Master!$H$3:$H$532,"captured")</f>
        <v>0</v>
      </c>
      <c r="AH25" s="10">
        <f>SUMIFS(Master!$F$3:$F$532,Master!$C$3:$C$532,AH$2,Master!$E$3:$E$532,"&gt;="&amp;$A25,Master!$E$3:$E$532,"&lt;"&amp;($A25+1),Master!$H$3:$H$532,"captured")</f>
        <v>49</v>
      </c>
      <c r="AI25" s="10">
        <f>SUMIFS(Master!$F$3:$F$532,Master!$C$3:$C$532,AI$2,Master!$E$3:$E$532,"&gt;="&amp;$A25,Master!$E$3:$E$532,"&lt;"&amp;($A25+1),Master!$H$3:$H$532,"captured")</f>
        <v>3148</v>
      </c>
      <c r="AJ25" s="10">
        <f>SUMIFS(Master!$F$3:$F$532,Master!$C$3:$C$532,AJ$2,Master!$E$3:$E$532,"&gt;="&amp;$A25,Master!$E$3:$E$532,"&lt;"&amp;($A25+1),Master!$H$3:$H$532,"captured")</f>
        <v>0</v>
      </c>
      <c r="AK25" s="10">
        <f>SUMIFS(Master!$F$3:$F$532,Master!$C$3:$C$532,AK$2,Master!$E$3:$E$532,"&gt;="&amp;$A25,Master!$E$3:$E$532,"&lt;"&amp;($A25+1),Master!$H$3:$H$532,"captured")</f>
        <v>0</v>
      </c>
      <c r="AL25" s="10">
        <f>SUMIFS(Master!$F$3:$F$532,Master!$C$3:$C$532,AL$2,Master!$E$3:$E$532,"&gt;="&amp;$A25,Master!$E$3:$E$532,"&lt;"&amp;($A25+1),Master!$H$3:$H$532,"captured")</f>
        <v>0</v>
      </c>
      <c r="AM25" s="10">
        <f>SUMIFS(Master!$F$3:$F$532,Master!$C$3:$C$532,AM$2,Master!$E$3:$E$532,"&gt;="&amp;$A25,Master!$E$3:$E$532,"&lt;"&amp;($A25+1),Master!$H$3:$H$532,"captured")</f>
        <v>499</v>
      </c>
      <c r="AN25" s="10">
        <f>SUMIFS(Master!$F$3:$F$532,Master!$C$3:$C$532,AN$2,Master!$E$3:$E$532,"&gt;="&amp;$A25,Master!$E$3:$E$532,"&lt;"&amp;($A25+1),Master!$H$3:$H$532,"captured")</f>
        <v>0</v>
      </c>
      <c r="AO25" s="10">
        <f>SUMIFS(Master!$F$3:$F$532,Master!$C$3:$C$532,AO$2,Master!$E$3:$E$532,"&gt;="&amp;$A25,Master!$E$3:$E$532,"&lt;"&amp;($A25+1),Master!$H$3:$H$532,"captured")</f>
        <v>99</v>
      </c>
    </row>
    <row r="26" spans="1:41" x14ac:dyDescent="0.25">
      <c r="A26" s="9">
        <v>46046</v>
      </c>
      <c r="B26" s="10">
        <f>SUMIFS(Master!$F$3:$F$532,Master!$C$3:$C$532,B$2,Master!$E$3:$E$532,"&gt;="&amp;$A26,Master!$E$3:$E$532,"&lt;"&amp;($A26+1),Master!$H$3:$H$532,"captured")</f>
        <v>0</v>
      </c>
      <c r="C26" s="10">
        <f>SUMIFS(Master!$F$3:$F$532,Master!$C$3:$C$532,C$2,Master!$E$3:$E$532,"&gt;="&amp;$A26,Master!$E$3:$E$532,"&lt;"&amp;($A26+1),Master!$H$3:$H$532,"captured")</f>
        <v>0</v>
      </c>
      <c r="D26" s="10">
        <f>SUMIFS(Master!$F$3:$F$532,Master!$C$3:$C$532,D$2,Master!$E$3:$E$532,"&gt;="&amp;$A26,Master!$E$3:$E$532,"&lt;"&amp;($A26+1),Master!$H$3:$H$532,"captured")</f>
        <v>0</v>
      </c>
      <c r="E26" s="10">
        <f>SUMIFS(Master!$F$3:$F$532,Master!$C$3:$C$532,E$2,Master!$E$3:$E$532,"&gt;="&amp;$A26,Master!$E$3:$E$532,"&lt;"&amp;($A26+1),Master!$H$3:$H$532,"captured")</f>
        <v>1499</v>
      </c>
      <c r="F26" s="10">
        <f>SUMIFS(Master!$F$3:$F$532,Master!$C$3:$C$532,F$2,Master!$E$3:$E$532,"&gt;="&amp;$A26,Master!$E$3:$E$532,"&lt;"&amp;($A26+1),Master!$H$3:$H$532,"captured")</f>
        <v>0</v>
      </c>
      <c r="G26" s="10">
        <f>SUMIFS(Master!$F$3:$F$532,Master!$C$3:$C$532,G$2,Master!$E$3:$E$532,"&gt;="&amp;$A26,Master!$E$3:$E$532,"&lt;"&amp;($A26+1),Master!$H$3:$H$532,"captured")</f>
        <v>0</v>
      </c>
      <c r="H26" s="10">
        <f>SUMIFS(Master!$F$3:$F$532,Master!$C$3:$C$532,H$2,Master!$E$3:$E$532,"&gt;="&amp;$A26,Master!$E$3:$E$532,"&lt;"&amp;($A26+1),Master!$H$3:$H$532,"captured")</f>
        <v>1298</v>
      </c>
      <c r="I26" s="10">
        <f>SUMIFS(Master!$F$3:$F$532,Master!$C$3:$C$532,I$2,Master!$E$3:$E$532,"&gt;="&amp;$A26,Master!$E$3:$E$532,"&lt;"&amp;($A26+1),Master!$H$3:$H$532,"captured")</f>
        <v>0</v>
      </c>
      <c r="J26" s="10">
        <f>SUMIFS(Master!$F$3:$F$532,Master!$C$3:$C$532,J$2,Master!$E$3:$E$532,"&gt;="&amp;$A26,Master!$E$3:$E$532,"&lt;"&amp;($A26+1),Master!$H$3:$H$532,"captured")</f>
        <v>0</v>
      </c>
      <c r="K26" s="10">
        <f>SUMIFS(Master!$F$3:$F$532,Master!$C$3:$C$532,K$2,Master!$E$3:$E$532,"&gt;="&amp;$A26,Master!$E$3:$E$532,"&lt;"&amp;($A26+1),Master!$H$3:$H$532,"captured")</f>
        <v>0</v>
      </c>
      <c r="L26" s="10">
        <f>SUMIFS(Master!$F$3:$F$532,Master!$C$3:$C$532,L$2,Master!$E$3:$E$532,"&gt;="&amp;$A26,Master!$E$3:$E$532,"&lt;"&amp;($A26+1),Master!$H$3:$H$532,"captured")</f>
        <v>1798</v>
      </c>
      <c r="M26" s="10">
        <f>SUMIFS(Master!$F$3:$F$532,Master!$C$3:$C$532,M$2,Master!$E$3:$E$532,"&gt;="&amp;$A26,Master!$E$3:$E$532,"&lt;"&amp;($A26+1),Master!$H$3:$H$532,"captured")</f>
        <v>0</v>
      </c>
      <c r="N26" s="10">
        <f>SUMIFS(Master!$F$3:$F$532,Master!$C$3:$C$532,N$2,Master!$E$3:$E$532,"&gt;="&amp;$A26,Master!$E$3:$E$532,"&lt;"&amp;($A26+1),Master!$H$3:$H$532,"captured")</f>
        <v>0</v>
      </c>
      <c r="O26" s="10">
        <f>SUMIFS(Master!$F$3:$F$532,Master!$C$3:$C$532,O$2,Master!$E$3:$E$532,"&gt;="&amp;$A26,Master!$E$3:$E$532,"&lt;"&amp;($A26+1),Master!$H$3:$H$532,"captured")</f>
        <v>0</v>
      </c>
      <c r="P26" s="10">
        <f>SUMIFS(Master!$F$3:$F$532,Master!$C$3:$C$532,P$2,Master!$E$3:$E$532,"&gt;="&amp;$A26,Master!$E$3:$E$532,"&lt;"&amp;($A26+1),Master!$H$3:$H$532,"captured")</f>
        <v>49</v>
      </c>
      <c r="Q26" s="10">
        <f>SUMIFS(Master!$F$3:$F$532,Master!$C$3:$C$532,Q$2,Master!$E$3:$E$532,"&gt;="&amp;$A26,Master!$E$3:$E$532,"&lt;"&amp;($A26+1),Master!$H$3:$H$532,"captured")</f>
        <v>1499</v>
      </c>
      <c r="R26" s="10">
        <f>SUMIFS(Master!$F$3:$F$532,Master!$C$3:$C$532,R$2,Master!$E$3:$E$532,"&gt;="&amp;$A26,Master!$E$3:$E$532,"&lt;"&amp;($A26+1),Master!$H$3:$H$532,"captured")</f>
        <v>0</v>
      </c>
      <c r="S26" s="10">
        <f>SUMIFS(Master!$F$3:$F$532,Master!$C$3:$C$532,S$2,Master!$E$3:$E$532,"&gt;="&amp;$A26,Master!$E$3:$E$532,"&lt;"&amp;($A26+1),Master!$H$3:$H$532,"captured")</f>
        <v>0</v>
      </c>
      <c r="T26" s="10">
        <f>SUMIFS(Master!$F$3:$F$532,Master!$C$3:$C$532,T$2,Master!$E$3:$E$532,"&gt;="&amp;$A26,Master!$E$3:$E$532,"&lt;"&amp;($A26+1),Master!$H$3:$H$532,"captured")</f>
        <v>149</v>
      </c>
      <c r="U26" s="10">
        <f>SUMIFS(Master!$F$3:$F$532,Master!$C$3:$C$532,U$2,Master!$E$3:$E$532,"&gt;="&amp;$A26,Master!$E$3:$E$532,"&lt;"&amp;($A26+1),Master!$H$3:$H$532,"captured")</f>
        <v>99</v>
      </c>
      <c r="V26" s="10">
        <f>SUMIFS(Master!$F$3:$F$532,Master!$C$3:$C$532,V$2,Master!$E$3:$E$532,"&gt;="&amp;$A26,Master!$E$3:$E$532,"&lt;"&amp;($A26+1),Master!$H$3:$H$532,"captured")</f>
        <v>0</v>
      </c>
      <c r="W26" s="10">
        <f>SUMIFS(Master!$F$3:$F$532,Master!$C$3:$C$532,W$2,Master!$E$3:$E$532,"&gt;="&amp;$A26,Master!$E$3:$E$532,"&lt;"&amp;($A26+1),Master!$H$3:$H$532,"captured")</f>
        <v>0</v>
      </c>
      <c r="X26" s="10">
        <f>SUMIFS(Master!$F$3:$F$532,Master!$C$3:$C$532,X$2,Master!$E$3:$E$532,"&gt;="&amp;$A26,Master!$E$3:$E$532,"&lt;"&amp;($A26+1),Master!$H$3:$H$532,"captured")</f>
        <v>0</v>
      </c>
      <c r="Y26" s="10">
        <f>SUMIFS(Master!$F$3:$F$532,Master!$C$3:$C$532,Y$2,Master!$E$3:$E$532,"&gt;="&amp;$A26,Master!$E$3:$E$532,"&lt;"&amp;($A26+1),Master!$H$3:$H$532,"captured")</f>
        <v>148</v>
      </c>
      <c r="Z26" s="10">
        <f>SUMIFS(Master!$F$3:$F$532,Master!$C$3:$C$532,Z$2,Master!$E$3:$E$532,"&gt;="&amp;$A26,Master!$E$3:$E$532,"&lt;"&amp;($A26+1),Master!$H$3:$H$532,"captured")</f>
        <v>497</v>
      </c>
      <c r="AA26" s="10">
        <f>SUMIFS(Master!$F$3:$F$532,Master!$C$3:$C$532,AA$2,Master!$E$3:$E$532,"&gt;="&amp;$A26,Master!$E$3:$E$532,"&lt;"&amp;($A26+1),Master!$H$3:$H$532,"captured")</f>
        <v>0</v>
      </c>
      <c r="AB26" s="10">
        <f>SUMIFS(Master!$F$3:$F$532,Master!$C$3:$C$532,AB$2,Master!$E$3:$E$532,"&gt;="&amp;$A26,Master!$E$3:$E$532,"&lt;"&amp;($A26+1),Master!$H$3:$H$532,"captured")</f>
        <v>99</v>
      </c>
      <c r="AC26" s="10">
        <f>SUMIFS(Master!$F$3:$F$532,Master!$C$3:$C$532,AC$2,Master!$E$3:$E$532,"&gt;="&amp;$A26,Master!$E$3:$E$532,"&lt;"&amp;($A26+1),Master!$H$3:$H$532,"captured")</f>
        <v>0</v>
      </c>
      <c r="AD26" s="10">
        <f>SUMIFS(Master!$F$3:$F$532,Master!$C$3:$C$532,AD$2,Master!$E$3:$E$532,"&gt;="&amp;$A26,Master!$E$3:$E$532,"&lt;"&amp;($A26+1),Master!$H$3:$H$532,"captured")</f>
        <v>0</v>
      </c>
      <c r="AE26" s="10">
        <f>SUMIFS(Master!$F$3:$F$532,Master!$C$3:$C$532,AE$2,Master!$E$3:$E$532,"&gt;="&amp;$A26,Master!$E$3:$E$532,"&lt;"&amp;($A26+1),Master!$H$3:$H$532,"captured")</f>
        <v>0</v>
      </c>
      <c r="AF26" s="10">
        <f>SUMIFS(Master!$F$3:$F$532,Master!$C$3:$C$532,AF$2,Master!$E$3:$E$532,"&gt;="&amp;$A26,Master!$E$3:$E$532,"&lt;"&amp;($A26+1),Master!$H$3:$H$532,"captured")</f>
        <v>0</v>
      </c>
      <c r="AG26" s="10">
        <f>SUMIFS(Master!$F$3:$F$532,Master!$C$3:$C$532,AG$2,Master!$E$3:$E$532,"&gt;="&amp;$A26,Master!$E$3:$E$532,"&lt;"&amp;($A26+1),Master!$H$3:$H$532,"captured")</f>
        <v>49</v>
      </c>
      <c r="AH26" s="10">
        <f>SUMIFS(Master!$F$3:$F$532,Master!$C$3:$C$532,AH$2,Master!$E$3:$E$532,"&gt;="&amp;$A26,Master!$E$3:$E$532,"&lt;"&amp;($A26+1),Master!$H$3:$H$532,"captured")</f>
        <v>49</v>
      </c>
      <c r="AI26" s="10">
        <f>SUMIFS(Master!$F$3:$F$532,Master!$C$3:$C$532,AI$2,Master!$E$3:$E$532,"&gt;="&amp;$A26,Master!$E$3:$E$532,"&lt;"&amp;($A26+1),Master!$H$3:$H$532,"captured")</f>
        <v>548</v>
      </c>
      <c r="AJ26" s="10">
        <f>SUMIFS(Master!$F$3:$F$532,Master!$C$3:$C$532,AJ$2,Master!$E$3:$E$532,"&gt;="&amp;$A26,Master!$E$3:$E$532,"&lt;"&amp;($A26+1),Master!$H$3:$H$532,"captured")</f>
        <v>149</v>
      </c>
      <c r="AK26" s="10">
        <f>SUMIFS(Master!$F$3:$F$532,Master!$C$3:$C$532,AK$2,Master!$E$3:$E$532,"&gt;="&amp;$A26,Master!$E$3:$E$532,"&lt;"&amp;($A26+1),Master!$H$3:$H$532,"captured")</f>
        <v>1647</v>
      </c>
      <c r="AL26" s="10">
        <f>SUMIFS(Master!$F$3:$F$532,Master!$C$3:$C$532,AL$2,Master!$E$3:$E$532,"&gt;="&amp;$A26,Master!$E$3:$E$532,"&lt;"&amp;($A26+1),Master!$H$3:$H$532,"captured")</f>
        <v>2999</v>
      </c>
      <c r="AM26" s="10">
        <f>SUMIFS(Master!$F$3:$F$532,Master!$C$3:$C$532,AM$2,Master!$E$3:$E$532,"&gt;="&amp;$A26,Master!$E$3:$E$532,"&lt;"&amp;($A26+1),Master!$H$3:$H$532,"captured")</f>
        <v>0</v>
      </c>
      <c r="AN26" s="10">
        <f>SUMIFS(Master!$F$3:$F$532,Master!$C$3:$C$532,AN$2,Master!$E$3:$E$532,"&gt;="&amp;$A26,Master!$E$3:$E$532,"&lt;"&amp;($A26+1),Master!$H$3:$H$532,"captured")</f>
        <v>0</v>
      </c>
      <c r="AO26" s="10">
        <f>SUMIFS(Master!$F$3:$F$532,Master!$C$3:$C$532,AO$2,Master!$E$3:$E$532,"&gt;="&amp;$A26,Master!$E$3:$E$532,"&lt;"&amp;($A26+1),Master!$H$3:$H$532,"captured")</f>
        <v>0</v>
      </c>
    </row>
    <row r="27" spans="1:41" x14ac:dyDescent="0.25">
      <c r="A27" s="9">
        <v>46047</v>
      </c>
      <c r="B27" s="10">
        <f>SUMIFS(Master!$F$3:$F$532,Master!$C$3:$C$532,B$2,Master!$E$3:$E$532,"&gt;="&amp;$A27,Master!$E$3:$E$532,"&lt;"&amp;($A27+1),Master!$H$3:$H$532,"captured")</f>
        <v>0</v>
      </c>
      <c r="C27" s="10">
        <f>SUMIFS(Master!$F$3:$F$532,Master!$C$3:$C$532,C$2,Master!$E$3:$E$532,"&gt;="&amp;$A27,Master!$E$3:$E$532,"&lt;"&amp;($A27+1),Master!$H$3:$H$532,"captured")</f>
        <v>0</v>
      </c>
      <c r="D27" s="10">
        <f>SUMIFS(Master!$F$3:$F$532,Master!$C$3:$C$532,D$2,Master!$E$3:$E$532,"&gt;="&amp;$A27,Master!$E$3:$E$532,"&lt;"&amp;($A27+1),Master!$H$3:$H$532,"captured")</f>
        <v>0</v>
      </c>
      <c r="E27" s="10">
        <f>SUMIFS(Master!$F$3:$F$532,Master!$C$3:$C$532,E$2,Master!$E$3:$E$532,"&gt;="&amp;$A27,Master!$E$3:$E$532,"&lt;"&amp;($A27+1),Master!$H$3:$H$532,"captured")</f>
        <v>1998</v>
      </c>
      <c r="F27" s="10">
        <f>SUMIFS(Master!$F$3:$F$532,Master!$C$3:$C$532,F$2,Master!$E$3:$E$532,"&gt;="&amp;$A27,Master!$E$3:$E$532,"&lt;"&amp;($A27+1),Master!$H$3:$H$532,"captured")</f>
        <v>0</v>
      </c>
      <c r="G27" s="10">
        <f>SUMIFS(Master!$F$3:$F$532,Master!$C$3:$C$532,G$2,Master!$E$3:$E$532,"&gt;="&amp;$A27,Master!$E$3:$E$532,"&lt;"&amp;($A27+1),Master!$H$3:$H$532,"captured")</f>
        <v>0</v>
      </c>
      <c r="H27" s="10">
        <f>SUMIFS(Master!$F$3:$F$532,Master!$C$3:$C$532,H$2,Master!$E$3:$E$532,"&gt;="&amp;$A27,Master!$E$3:$E$532,"&lt;"&amp;($A27+1),Master!$H$3:$H$532,"captured")</f>
        <v>99</v>
      </c>
      <c r="I27" s="10">
        <f>SUMIFS(Master!$F$3:$F$532,Master!$C$3:$C$532,I$2,Master!$E$3:$E$532,"&gt;="&amp;$A27,Master!$E$3:$E$532,"&lt;"&amp;($A27+1),Master!$H$3:$H$532,"captured")</f>
        <v>0</v>
      </c>
      <c r="J27" s="10">
        <f>SUMIFS(Master!$F$3:$F$532,Master!$C$3:$C$532,J$2,Master!$E$3:$E$532,"&gt;="&amp;$A27,Master!$E$3:$E$532,"&lt;"&amp;($A27+1),Master!$H$3:$H$532,"captured")</f>
        <v>0</v>
      </c>
      <c r="K27" s="10">
        <f>SUMIFS(Master!$F$3:$F$532,Master!$C$3:$C$532,K$2,Master!$E$3:$E$532,"&gt;="&amp;$A27,Master!$E$3:$E$532,"&lt;"&amp;($A27+1),Master!$H$3:$H$532,"captured")</f>
        <v>0</v>
      </c>
      <c r="L27" s="10">
        <f>SUMIFS(Master!$F$3:$F$532,Master!$C$3:$C$532,L$2,Master!$E$3:$E$532,"&gt;="&amp;$A27,Master!$E$3:$E$532,"&lt;"&amp;($A27+1),Master!$H$3:$H$532,"captured")</f>
        <v>0</v>
      </c>
      <c r="M27" s="10">
        <f>SUMIFS(Master!$F$3:$F$532,Master!$C$3:$C$532,M$2,Master!$E$3:$E$532,"&gt;="&amp;$A27,Master!$E$3:$E$532,"&lt;"&amp;($A27+1),Master!$H$3:$H$532,"captured")</f>
        <v>0</v>
      </c>
      <c r="N27" s="10">
        <f>SUMIFS(Master!$F$3:$F$532,Master!$C$3:$C$532,N$2,Master!$E$3:$E$532,"&gt;="&amp;$A27,Master!$E$3:$E$532,"&lt;"&amp;($A27+1),Master!$H$3:$H$532,"captured")</f>
        <v>0</v>
      </c>
      <c r="O27" s="10">
        <f>SUMIFS(Master!$F$3:$F$532,Master!$C$3:$C$532,O$2,Master!$E$3:$E$532,"&gt;="&amp;$A27,Master!$E$3:$E$532,"&lt;"&amp;($A27+1),Master!$H$3:$H$532,"captured")</f>
        <v>1598</v>
      </c>
      <c r="P27" s="10">
        <f>SUMIFS(Master!$F$3:$F$532,Master!$C$3:$C$532,P$2,Master!$E$3:$E$532,"&gt;="&amp;$A27,Master!$E$3:$E$532,"&lt;"&amp;($A27+1),Master!$H$3:$H$532,"captured")</f>
        <v>0</v>
      </c>
      <c r="Q27" s="10">
        <f>SUMIFS(Master!$F$3:$F$532,Master!$C$3:$C$532,Q$2,Master!$E$3:$E$532,"&gt;="&amp;$A27,Master!$E$3:$E$532,"&lt;"&amp;($A27+1),Master!$H$3:$H$532,"captured")</f>
        <v>49</v>
      </c>
      <c r="R27" s="10">
        <f>SUMIFS(Master!$F$3:$F$532,Master!$C$3:$C$532,R$2,Master!$E$3:$E$532,"&gt;="&amp;$A27,Master!$E$3:$E$532,"&lt;"&amp;($A27+1),Master!$H$3:$H$532,"captured")</f>
        <v>0</v>
      </c>
      <c r="S27" s="10">
        <f>SUMIFS(Master!$F$3:$F$532,Master!$C$3:$C$532,S$2,Master!$E$3:$E$532,"&gt;="&amp;$A27,Master!$E$3:$E$532,"&lt;"&amp;($A27+1),Master!$H$3:$H$532,"captured")</f>
        <v>6647</v>
      </c>
      <c r="T27" s="10">
        <f>SUMIFS(Master!$F$3:$F$532,Master!$C$3:$C$532,T$2,Master!$E$3:$E$532,"&gt;="&amp;$A27,Master!$E$3:$E$532,"&lt;"&amp;($A27+1),Master!$H$3:$H$532,"captured")</f>
        <v>49</v>
      </c>
      <c r="U27" s="10">
        <f>SUMIFS(Master!$F$3:$F$532,Master!$C$3:$C$532,U$2,Master!$E$3:$E$532,"&gt;="&amp;$A27,Master!$E$3:$E$532,"&lt;"&amp;($A27+1),Master!$H$3:$H$532,"captured")</f>
        <v>0</v>
      </c>
      <c r="V27" s="10">
        <f>SUMIFS(Master!$F$3:$F$532,Master!$C$3:$C$532,V$2,Master!$E$3:$E$532,"&gt;="&amp;$A27,Master!$E$3:$E$532,"&lt;"&amp;($A27+1),Master!$H$3:$H$532,"captured")</f>
        <v>299</v>
      </c>
      <c r="W27" s="10">
        <f>SUMIFS(Master!$F$3:$F$532,Master!$C$3:$C$532,W$2,Master!$E$3:$E$532,"&gt;="&amp;$A27,Master!$E$3:$E$532,"&lt;"&amp;($A27+1),Master!$H$3:$H$532,"captured")</f>
        <v>0</v>
      </c>
      <c r="X27" s="10">
        <f>SUMIFS(Master!$F$3:$F$532,Master!$C$3:$C$532,X$2,Master!$E$3:$E$532,"&gt;="&amp;$A27,Master!$E$3:$E$532,"&lt;"&amp;($A27+1),Master!$H$3:$H$532,"captured")</f>
        <v>0</v>
      </c>
      <c r="Y27" s="10">
        <f>SUMIFS(Master!$F$3:$F$532,Master!$C$3:$C$532,Y$2,Master!$E$3:$E$532,"&gt;="&amp;$A27,Master!$E$3:$E$532,"&lt;"&amp;($A27+1),Master!$H$3:$H$532,"captured")</f>
        <v>0</v>
      </c>
      <c r="Z27" s="10">
        <f>SUMIFS(Master!$F$3:$F$532,Master!$C$3:$C$532,Z$2,Master!$E$3:$E$532,"&gt;="&amp;$A27,Master!$E$3:$E$532,"&lt;"&amp;($A27+1),Master!$H$3:$H$532,"captured")</f>
        <v>0</v>
      </c>
      <c r="AA27" s="10">
        <f>SUMIFS(Master!$F$3:$F$532,Master!$C$3:$C$532,AA$2,Master!$E$3:$E$532,"&gt;="&amp;$A27,Master!$E$3:$E$532,"&lt;"&amp;($A27+1),Master!$H$3:$H$532,"captured")</f>
        <v>0</v>
      </c>
      <c r="AB27" s="10">
        <f>SUMIFS(Master!$F$3:$F$532,Master!$C$3:$C$532,AB$2,Master!$E$3:$E$532,"&gt;="&amp;$A27,Master!$E$3:$E$532,"&lt;"&amp;($A27+1),Master!$H$3:$H$532,"captured")</f>
        <v>0</v>
      </c>
      <c r="AC27" s="10">
        <f>SUMIFS(Master!$F$3:$F$532,Master!$C$3:$C$532,AC$2,Master!$E$3:$E$532,"&gt;="&amp;$A27,Master!$E$3:$E$532,"&lt;"&amp;($A27+1),Master!$H$3:$H$532,"captured")</f>
        <v>0</v>
      </c>
      <c r="AD27" s="10">
        <f>SUMIFS(Master!$F$3:$F$532,Master!$C$3:$C$532,AD$2,Master!$E$3:$E$532,"&gt;="&amp;$A27,Master!$E$3:$E$532,"&lt;"&amp;($A27+1),Master!$H$3:$H$532,"captured")</f>
        <v>299</v>
      </c>
      <c r="AE27" s="10">
        <f>SUMIFS(Master!$F$3:$F$532,Master!$C$3:$C$532,AE$2,Master!$E$3:$E$532,"&gt;="&amp;$A27,Master!$E$3:$E$532,"&lt;"&amp;($A27+1),Master!$H$3:$H$532,"captured")</f>
        <v>0</v>
      </c>
      <c r="AF27" s="10">
        <f>SUMIFS(Master!$F$3:$F$532,Master!$C$3:$C$532,AF$2,Master!$E$3:$E$532,"&gt;="&amp;$A27,Master!$E$3:$E$532,"&lt;"&amp;($A27+1),Master!$H$3:$H$532,"captured")</f>
        <v>0</v>
      </c>
      <c r="AG27" s="10">
        <f>SUMIFS(Master!$F$3:$F$532,Master!$C$3:$C$532,AG$2,Master!$E$3:$E$532,"&gt;="&amp;$A27,Master!$E$3:$E$532,"&lt;"&amp;($A27+1),Master!$H$3:$H$532,"captured")</f>
        <v>49</v>
      </c>
      <c r="AH27" s="10">
        <f>SUMIFS(Master!$F$3:$F$532,Master!$C$3:$C$532,AH$2,Master!$E$3:$E$532,"&gt;="&amp;$A27,Master!$E$3:$E$532,"&lt;"&amp;($A27+1),Master!$H$3:$H$532,"captured")</f>
        <v>99</v>
      </c>
      <c r="AI27" s="10">
        <f>SUMIFS(Master!$F$3:$F$532,Master!$C$3:$C$532,AI$2,Master!$E$3:$E$532,"&gt;="&amp;$A27,Master!$E$3:$E$532,"&lt;"&amp;($A27+1),Master!$H$3:$H$532,"captured")</f>
        <v>0</v>
      </c>
      <c r="AJ27" s="10">
        <f>SUMIFS(Master!$F$3:$F$532,Master!$C$3:$C$532,AJ$2,Master!$E$3:$E$532,"&gt;="&amp;$A27,Master!$E$3:$E$532,"&lt;"&amp;($A27+1),Master!$H$3:$H$532,"captured")</f>
        <v>0</v>
      </c>
      <c r="AK27" s="10">
        <f>SUMIFS(Master!$F$3:$F$532,Master!$C$3:$C$532,AK$2,Master!$E$3:$E$532,"&gt;="&amp;$A27,Master!$E$3:$E$532,"&lt;"&amp;($A27+1),Master!$H$3:$H$532,"captured")</f>
        <v>0</v>
      </c>
      <c r="AL27" s="10">
        <f>SUMIFS(Master!$F$3:$F$532,Master!$C$3:$C$532,AL$2,Master!$E$3:$E$532,"&gt;="&amp;$A27,Master!$E$3:$E$532,"&lt;"&amp;($A27+1),Master!$H$3:$H$532,"captured")</f>
        <v>0</v>
      </c>
      <c r="AM27" s="10">
        <f>SUMIFS(Master!$F$3:$F$532,Master!$C$3:$C$532,AM$2,Master!$E$3:$E$532,"&gt;="&amp;$A27,Master!$E$3:$E$532,"&lt;"&amp;($A27+1),Master!$H$3:$H$532,"captured")</f>
        <v>0</v>
      </c>
      <c r="AN27" s="10">
        <f>SUMIFS(Master!$F$3:$F$532,Master!$C$3:$C$532,AN$2,Master!$E$3:$E$532,"&gt;="&amp;$A27,Master!$E$3:$E$532,"&lt;"&amp;($A27+1),Master!$H$3:$H$532,"captured")</f>
        <v>0</v>
      </c>
      <c r="AO27" s="10">
        <f>SUMIFS(Master!$F$3:$F$532,Master!$C$3:$C$532,AO$2,Master!$E$3:$E$532,"&gt;="&amp;$A27,Master!$E$3:$E$532,"&lt;"&amp;($A27+1),Master!$H$3:$H$532,"captured")</f>
        <v>0</v>
      </c>
    </row>
    <row r="28" spans="1:41" x14ac:dyDescent="0.25">
      <c r="A28" s="9">
        <v>46048</v>
      </c>
      <c r="B28" s="10">
        <f>SUMIFS(Master!$F$3:$F$532,Master!$C$3:$C$532,B$2,Master!$E$3:$E$532,"&gt;="&amp;$A28,Master!$E$3:$E$532,"&lt;"&amp;($A28+1),Master!$H$3:$H$532,"captured")</f>
        <v>0</v>
      </c>
      <c r="C28" s="10">
        <f>SUMIFS(Master!$F$3:$F$532,Master!$C$3:$C$532,C$2,Master!$E$3:$E$532,"&gt;="&amp;$A28,Master!$E$3:$E$532,"&lt;"&amp;($A28+1),Master!$H$3:$H$532,"captured")</f>
        <v>299</v>
      </c>
      <c r="D28" s="10">
        <f>SUMIFS(Master!$F$3:$F$532,Master!$C$3:$C$532,D$2,Master!$E$3:$E$532,"&gt;="&amp;$A28,Master!$E$3:$E$532,"&lt;"&amp;($A28+1),Master!$H$3:$H$532,"captured")</f>
        <v>149</v>
      </c>
      <c r="E28" s="10">
        <f>SUMIFS(Master!$F$3:$F$532,Master!$C$3:$C$532,E$2,Master!$E$3:$E$532,"&gt;="&amp;$A28,Master!$E$3:$E$532,"&lt;"&amp;($A28+1),Master!$H$3:$H$532,"captured")</f>
        <v>0</v>
      </c>
      <c r="F28" s="10">
        <f>SUMIFS(Master!$F$3:$F$532,Master!$C$3:$C$532,F$2,Master!$E$3:$E$532,"&gt;="&amp;$A28,Master!$E$3:$E$532,"&lt;"&amp;($A28+1),Master!$H$3:$H$532,"captured")</f>
        <v>0</v>
      </c>
      <c r="G28" s="10">
        <f>SUMIFS(Master!$F$3:$F$532,Master!$C$3:$C$532,G$2,Master!$E$3:$E$532,"&gt;="&amp;$A28,Master!$E$3:$E$532,"&lt;"&amp;($A28+1),Master!$H$3:$H$532,"captured")</f>
        <v>49</v>
      </c>
      <c r="H28" s="10">
        <f>SUMIFS(Master!$F$3:$F$532,Master!$C$3:$C$532,H$2,Master!$E$3:$E$532,"&gt;="&amp;$A28,Master!$E$3:$E$532,"&lt;"&amp;($A28+1),Master!$H$3:$H$532,"captured")</f>
        <v>0</v>
      </c>
      <c r="I28" s="10">
        <f>SUMIFS(Master!$F$3:$F$532,Master!$C$3:$C$532,I$2,Master!$E$3:$E$532,"&gt;="&amp;$A28,Master!$E$3:$E$532,"&lt;"&amp;($A28+1),Master!$H$3:$H$532,"captured")</f>
        <v>598</v>
      </c>
      <c r="J28" s="10">
        <f>SUMIFS(Master!$F$3:$F$532,Master!$C$3:$C$532,J$2,Master!$E$3:$E$532,"&gt;="&amp;$A28,Master!$E$3:$E$532,"&lt;"&amp;($A28+1),Master!$H$3:$H$532,"captured")</f>
        <v>0</v>
      </c>
      <c r="K28" s="10">
        <f>SUMIFS(Master!$F$3:$F$532,Master!$C$3:$C$532,K$2,Master!$E$3:$E$532,"&gt;="&amp;$A28,Master!$E$3:$E$532,"&lt;"&amp;($A28+1),Master!$H$3:$H$532,"captured")</f>
        <v>0</v>
      </c>
      <c r="L28" s="10">
        <f>SUMIFS(Master!$F$3:$F$532,Master!$C$3:$C$532,L$2,Master!$E$3:$E$532,"&gt;="&amp;$A28,Master!$E$3:$E$532,"&lt;"&amp;($A28+1),Master!$H$3:$H$532,"captured")</f>
        <v>0</v>
      </c>
      <c r="M28" s="10">
        <f>SUMIFS(Master!$F$3:$F$532,Master!$C$3:$C$532,M$2,Master!$E$3:$E$532,"&gt;="&amp;$A28,Master!$E$3:$E$532,"&lt;"&amp;($A28+1),Master!$H$3:$H$532,"captured")</f>
        <v>0</v>
      </c>
      <c r="N28" s="10">
        <f>SUMIFS(Master!$F$3:$F$532,Master!$C$3:$C$532,N$2,Master!$E$3:$E$532,"&gt;="&amp;$A28,Master!$E$3:$E$532,"&lt;"&amp;($A28+1),Master!$H$3:$H$532,"captured")</f>
        <v>299</v>
      </c>
      <c r="O28" s="10">
        <f>SUMIFS(Master!$F$3:$F$532,Master!$C$3:$C$532,O$2,Master!$E$3:$E$532,"&gt;="&amp;$A28,Master!$E$3:$E$532,"&lt;"&amp;($A28+1),Master!$H$3:$H$532,"captured")</f>
        <v>0</v>
      </c>
      <c r="P28" s="10">
        <f>SUMIFS(Master!$F$3:$F$532,Master!$C$3:$C$532,P$2,Master!$E$3:$E$532,"&gt;="&amp;$A28,Master!$E$3:$E$532,"&lt;"&amp;($A28+1),Master!$H$3:$H$532,"captured")</f>
        <v>4999</v>
      </c>
      <c r="Q28" s="10">
        <f>SUMIFS(Master!$F$3:$F$532,Master!$C$3:$C$532,Q$2,Master!$E$3:$E$532,"&gt;="&amp;$A28,Master!$E$3:$E$532,"&lt;"&amp;($A28+1),Master!$H$3:$H$532,"captured")</f>
        <v>0</v>
      </c>
      <c r="R28" s="10">
        <f>SUMIFS(Master!$F$3:$F$532,Master!$C$3:$C$532,R$2,Master!$E$3:$E$532,"&gt;="&amp;$A28,Master!$E$3:$E$532,"&lt;"&amp;($A28+1),Master!$H$3:$H$532,"captured")</f>
        <v>0</v>
      </c>
      <c r="S28" s="10">
        <f>SUMIFS(Master!$F$3:$F$532,Master!$C$3:$C$532,S$2,Master!$E$3:$E$532,"&gt;="&amp;$A28,Master!$E$3:$E$532,"&lt;"&amp;($A28+1),Master!$H$3:$H$532,"captured")</f>
        <v>0</v>
      </c>
      <c r="T28" s="10">
        <f>SUMIFS(Master!$F$3:$F$532,Master!$C$3:$C$532,T$2,Master!$E$3:$E$532,"&gt;="&amp;$A28,Master!$E$3:$E$532,"&lt;"&amp;($A28+1),Master!$H$3:$H$532,"captured")</f>
        <v>49</v>
      </c>
      <c r="U28" s="10">
        <f>SUMIFS(Master!$F$3:$F$532,Master!$C$3:$C$532,U$2,Master!$E$3:$E$532,"&gt;="&amp;$A28,Master!$E$3:$E$532,"&lt;"&amp;($A28+1),Master!$H$3:$H$532,"captured")</f>
        <v>0</v>
      </c>
      <c r="V28" s="10">
        <f>SUMIFS(Master!$F$3:$F$532,Master!$C$3:$C$532,V$2,Master!$E$3:$E$532,"&gt;="&amp;$A28,Master!$E$3:$E$532,"&lt;"&amp;($A28+1),Master!$H$3:$H$532,"captured")</f>
        <v>99</v>
      </c>
      <c r="W28" s="10">
        <f>SUMIFS(Master!$F$3:$F$532,Master!$C$3:$C$532,W$2,Master!$E$3:$E$532,"&gt;="&amp;$A28,Master!$E$3:$E$532,"&lt;"&amp;($A28+1),Master!$H$3:$H$532,"captured")</f>
        <v>0</v>
      </c>
      <c r="X28" s="10">
        <f>SUMIFS(Master!$F$3:$F$532,Master!$C$3:$C$532,X$2,Master!$E$3:$E$532,"&gt;="&amp;$A28,Master!$E$3:$E$532,"&lt;"&amp;($A28+1),Master!$H$3:$H$532,"captured")</f>
        <v>49</v>
      </c>
      <c r="Y28" s="10">
        <f>SUMIFS(Master!$F$3:$F$532,Master!$C$3:$C$532,Y$2,Master!$E$3:$E$532,"&gt;="&amp;$A28,Master!$E$3:$E$532,"&lt;"&amp;($A28+1),Master!$H$3:$H$532,"captured")</f>
        <v>348</v>
      </c>
      <c r="Z28" s="10">
        <f>SUMIFS(Master!$F$3:$F$532,Master!$C$3:$C$532,Z$2,Master!$E$3:$E$532,"&gt;="&amp;$A28,Master!$E$3:$E$532,"&lt;"&amp;($A28+1),Master!$H$3:$H$532,"captured")</f>
        <v>0</v>
      </c>
      <c r="AA28" s="10">
        <f>SUMIFS(Master!$F$3:$F$532,Master!$C$3:$C$532,AA$2,Master!$E$3:$E$532,"&gt;="&amp;$A28,Master!$E$3:$E$532,"&lt;"&amp;($A28+1),Master!$H$3:$H$532,"captured")</f>
        <v>0</v>
      </c>
      <c r="AB28" s="10">
        <f>SUMIFS(Master!$F$3:$F$532,Master!$C$3:$C$532,AB$2,Master!$E$3:$E$532,"&gt;="&amp;$A28,Master!$E$3:$E$532,"&lt;"&amp;($A28+1),Master!$H$3:$H$532,"captured")</f>
        <v>0</v>
      </c>
      <c r="AC28" s="10">
        <f>SUMIFS(Master!$F$3:$F$532,Master!$C$3:$C$532,AC$2,Master!$E$3:$E$532,"&gt;="&amp;$A28,Master!$E$3:$E$532,"&lt;"&amp;($A28+1),Master!$H$3:$H$532,"captured")</f>
        <v>0</v>
      </c>
      <c r="AD28" s="10">
        <f>SUMIFS(Master!$F$3:$F$532,Master!$C$3:$C$532,AD$2,Master!$E$3:$E$532,"&gt;="&amp;$A28,Master!$E$3:$E$532,"&lt;"&amp;($A28+1),Master!$H$3:$H$532,"captured")</f>
        <v>0</v>
      </c>
      <c r="AE28" s="10">
        <f>SUMIFS(Master!$F$3:$F$532,Master!$C$3:$C$532,AE$2,Master!$E$3:$E$532,"&gt;="&amp;$A28,Master!$E$3:$E$532,"&lt;"&amp;($A28+1),Master!$H$3:$H$532,"captured")</f>
        <v>799</v>
      </c>
      <c r="AF28" s="10">
        <f>SUMIFS(Master!$F$3:$F$532,Master!$C$3:$C$532,AF$2,Master!$E$3:$E$532,"&gt;="&amp;$A28,Master!$E$3:$E$532,"&lt;"&amp;($A28+1),Master!$H$3:$H$532,"captured")</f>
        <v>0</v>
      </c>
      <c r="AG28" s="10">
        <f>SUMIFS(Master!$F$3:$F$532,Master!$C$3:$C$532,AG$2,Master!$E$3:$E$532,"&gt;="&amp;$A28,Master!$E$3:$E$532,"&lt;"&amp;($A28+1),Master!$H$3:$H$532,"captured")</f>
        <v>0</v>
      </c>
      <c r="AH28" s="10">
        <f>SUMIFS(Master!$F$3:$F$532,Master!$C$3:$C$532,AH$2,Master!$E$3:$E$532,"&gt;="&amp;$A28,Master!$E$3:$E$532,"&lt;"&amp;($A28+1),Master!$H$3:$H$532,"captured")</f>
        <v>0</v>
      </c>
      <c r="AI28" s="10">
        <f>SUMIFS(Master!$F$3:$F$532,Master!$C$3:$C$532,AI$2,Master!$E$3:$E$532,"&gt;="&amp;$A28,Master!$E$3:$E$532,"&lt;"&amp;($A28+1),Master!$H$3:$H$532,"captured")</f>
        <v>0</v>
      </c>
      <c r="AJ28" s="10">
        <f>SUMIFS(Master!$F$3:$F$532,Master!$C$3:$C$532,AJ$2,Master!$E$3:$E$532,"&gt;="&amp;$A28,Master!$E$3:$E$532,"&lt;"&amp;($A28+1),Master!$H$3:$H$532,"captured")</f>
        <v>499</v>
      </c>
      <c r="AK28" s="10">
        <f>SUMIFS(Master!$F$3:$F$532,Master!$C$3:$C$532,AK$2,Master!$E$3:$E$532,"&gt;="&amp;$A28,Master!$E$3:$E$532,"&lt;"&amp;($A28+1),Master!$H$3:$H$532,"captured")</f>
        <v>198</v>
      </c>
      <c r="AL28" s="10">
        <f>SUMIFS(Master!$F$3:$F$532,Master!$C$3:$C$532,AL$2,Master!$E$3:$E$532,"&gt;="&amp;$A28,Master!$E$3:$E$532,"&lt;"&amp;($A28+1),Master!$H$3:$H$532,"captured")</f>
        <v>0</v>
      </c>
      <c r="AM28" s="10">
        <f>SUMIFS(Master!$F$3:$F$532,Master!$C$3:$C$532,AM$2,Master!$E$3:$E$532,"&gt;="&amp;$A28,Master!$E$3:$E$532,"&lt;"&amp;($A28+1),Master!$H$3:$H$532,"captured")</f>
        <v>0</v>
      </c>
      <c r="AN28" s="10">
        <f>SUMIFS(Master!$F$3:$F$532,Master!$C$3:$C$532,AN$2,Master!$E$3:$E$532,"&gt;="&amp;$A28,Master!$E$3:$E$532,"&lt;"&amp;($A28+1),Master!$H$3:$H$532,"captured")</f>
        <v>0</v>
      </c>
      <c r="AO28" s="10">
        <f>SUMIFS(Master!$F$3:$F$532,Master!$C$3:$C$532,AO$2,Master!$E$3:$E$532,"&gt;="&amp;$A28,Master!$E$3:$E$532,"&lt;"&amp;($A28+1),Master!$H$3:$H$532,"captured")</f>
        <v>0</v>
      </c>
    </row>
    <row r="29" spans="1:41" x14ac:dyDescent="0.25">
      <c r="A29" s="9">
        <v>46049</v>
      </c>
      <c r="B29" s="10">
        <f>SUMIFS(Master!$F$3:$F$532,Master!$C$3:$C$532,B$2,Master!$E$3:$E$532,"&gt;="&amp;$A29,Master!$E$3:$E$532,"&lt;"&amp;($A29+1),Master!$H$3:$H$532,"captured")</f>
        <v>0</v>
      </c>
      <c r="C29" s="10">
        <f>SUMIFS(Master!$F$3:$F$532,Master!$C$3:$C$532,C$2,Master!$E$3:$E$532,"&gt;="&amp;$A29,Master!$E$3:$E$532,"&lt;"&amp;($A29+1),Master!$H$3:$H$532,"captured")</f>
        <v>0</v>
      </c>
      <c r="D29" s="10">
        <f>SUMIFS(Master!$F$3:$F$532,Master!$C$3:$C$532,D$2,Master!$E$3:$E$532,"&gt;="&amp;$A29,Master!$E$3:$E$532,"&lt;"&amp;($A29+1),Master!$H$3:$H$532,"captured")</f>
        <v>0</v>
      </c>
      <c r="E29" s="10">
        <f>SUMIFS(Master!$F$3:$F$532,Master!$C$3:$C$532,E$2,Master!$E$3:$E$532,"&gt;="&amp;$A29,Master!$E$3:$E$532,"&lt;"&amp;($A29+1),Master!$H$3:$H$532,"captured")</f>
        <v>0</v>
      </c>
      <c r="F29" s="10">
        <f>SUMIFS(Master!$F$3:$F$532,Master!$C$3:$C$532,F$2,Master!$E$3:$E$532,"&gt;="&amp;$A29,Master!$E$3:$E$532,"&lt;"&amp;($A29+1),Master!$H$3:$H$532,"captured")</f>
        <v>0</v>
      </c>
      <c r="G29" s="10">
        <f>SUMIFS(Master!$F$3:$F$532,Master!$C$3:$C$532,G$2,Master!$E$3:$E$532,"&gt;="&amp;$A29,Master!$E$3:$E$532,"&lt;"&amp;($A29+1),Master!$H$3:$H$532,"captured")</f>
        <v>0</v>
      </c>
      <c r="H29" s="10">
        <f>SUMIFS(Master!$F$3:$F$532,Master!$C$3:$C$532,H$2,Master!$E$3:$E$532,"&gt;="&amp;$A29,Master!$E$3:$E$532,"&lt;"&amp;($A29+1),Master!$H$3:$H$532,"captured")</f>
        <v>0</v>
      </c>
      <c r="I29" s="10">
        <f>SUMIFS(Master!$F$3:$F$532,Master!$C$3:$C$532,I$2,Master!$E$3:$E$532,"&gt;="&amp;$A29,Master!$E$3:$E$532,"&lt;"&amp;($A29+1),Master!$H$3:$H$532,"captured")</f>
        <v>1499</v>
      </c>
      <c r="J29" s="10">
        <f>SUMIFS(Master!$F$3:$F$532,Master!$C$3:$C$532,J$2,Master!$E$3:$E$532,"&gt;="&amp;$A29,Master!$E$3:$E$532,"&lt;"&amp;($A29+1),Master!$H$3:$H$532,"captured")</f>
        <v>0</v>
      </c>
      <c r="K29" s="10">
        <f>SUMIFS(Master!$F$3:$F$532,Master!$C$3:$C$532,K$2,Master!$E$3:$E$532,"&gt;="&amp;$A29,Master!$E$3:$E$532,"&lt;"&amp;($A29+1),Master!$H$3:$H$532,"captured")</f>
        <v>0</v>
      </c>
      <c r="L29" s="10">
        <f>SUMIFS(Master!$F$3:$F$532,Master!$C$3:$C$532,L$2,Master!$E$3:$E$532,"&gt;="&amp;$A29,Master!$E$3:$E$532,"&lt;"&amp;($A29+1),Master!$H$3:$H$532,"captured")</f>
        <v>0</v>
      </c>
      <c r="M29" s="10">
        <f>SUMIFS(Master!$F$3:$F$532,Master!$C$3:$C$532,M$2,Master!$E$3:$E$532,"&gt;="&amp;$A29,Master!$E$3:$E$532,"&lt;"&amp;($A29+1),Master!$H$3:$H$532,"captured")</f>
        <v>149</v>
      </c>
      <c r="N29" s="10">
        <f>SUMIFS(Master!$F$3:$F$532,Master!$C$3:$C$532,N$2,Master!$E$3:$E$532,"&gt;="&amp;$A29,Master!$E$3:$E$532,"&lt;"&amp;($A29+1),Master!$H$3:$H$532,"captured")</f>
        <v>1598</v>
      </c>
      <c r="O29" s="10">
        <f>SUMIFS(Master!$F$3:$F$532,Master!$C$3:$C$532,O$2,Master!$E$3:$E$532,"&gt;="&amp;$A29,Master!$E$3:$E$532,"&lt;"&amp;($A29+1),Master!$H$3:$H$532,"captured")</f>
        <v>0</v>
      </c>
      <c r="P29" s="10">
        <f>SUMIFS(Master!$F$3:$F$532,Master!$C$3:$C$532,P$2,Master!$E$3:$E$532,"&gt;="&amp;$A29,Master!$E$3:$E$532,"&lt;"&amp;($A29+1),Master!$H$3:$H$532,"captured")</f>
        <v>799</v>
      </c>
      <c r="Q29" s="10">
        <f>SUMIFS(Master!$F$3:$F$532,Master!$C$3:$C$532,Q$2,Master!$E$3:$E$532,"&gt;="&amp;$A29,Master!$E$3:$E$532,"&lt;"&amp;($A29+1),Master!$H$3:$H$532,"captured")</f>
        <v>348</v>
      </c>
      <c r="R29" s="10">
        <f>SUMIFS(Master!$F$3:$F$532,Master!$C$3:$C$532,R$2,Master!$E$3:$E$532,"&gt;="&amp;$A29,Master!$E$3:$E$532,"&lt;"&amp;($A29+1),Master!$H$3:$H$532,"captured")</f>
        <v>0</v>
      </c>
      <c r="S29" s="10">
        <f>SUMIFS(Master!$F$3:$F$532,Master!$C$3:$C$532,S$2,Master!$E$3:$E$532,"&gt;="&amp;$A29,Master!$E$3:$E$532,"&lt;"&amp;($A29+1),Master!$H$3:$H$532,"captured")</f>
        <v>0</v>
      </c>
      <c r="T29" s="10">
        <f>SUMIFS(Master!$F$3:$F$532,Master!$C$3:$C$532,T$2,Master!$E$3:$E$532,"&gt;="&amp;$A29,Master!$E$3:$E$532,"&lt;"&amp;($A29+1),Master!$H$3:$H$532,"captured")</f>
        <v>0</v>
      </c>
      <c r="U29" s="10">
        <f>SUMIFS(Master!$F$3:$F$532,Master!$C$3:$C$532,U$2,Master!$E$3:$E$532,"&gt;="&amp;$A29,Master!$E$3:$E$532,"&lt;"&amp;($A29+1),Master!$H$3:$H$532,"captured")</f>
        <v>0</v>
      </c>
      <c r="V29" s="10">
        <f>SUMIFS(Master!$F$3:$F$532,Master!$C$3:$C$532,V$2,Master!$E$3:$E$532,"&gt;="&amp;$A29,Master!$E$3:$E$532,"&lt;"&amp;($A29+1),Master!$H$3:$H$532,"captured")</f>
        <v>49</v>
      </c>
      <c r="W29" s="10">
        <f>SUMIFS(Master!$F$3:$F$532,Master!$C$3:$C$532,W$2,Master!$E$3:$E$532,"&gt;="&amp;$A29,Master!$E$3:$E$532,"&lt;"&amp;($A29+1),Master!$H$3:$H$532,"captured")</f>
        <v>0</v>
      </c>
      <c r="X29" s="10">
        <f>SUMIFS(Master!$F$3:$F$532,Master!$C$3:$C$532,X$2,Master!$E$3:$E$532,"&gt;="&amp;$A29,Master!$E$3:$E$532,"&lt;"&amp;($A29+1),Master!$H$3:$H$532,"captured")</f>
        <v>0</v>
      </c>
      <c r="Y29" s="10">
        <f>SUMIFS(Master!$F$3:$F$532,Master!$C$3:$C$532,Y$2,Master!$E$3:$E$532,"&gt;="&amp;$A29,Master!$E$3:$E$532,"&lt;"&amp;($A29+1),Master!$H$3:$H$532,"captured")</f>
        <v>0</v>
      </c>
      <c r="Z29" s="10">
        <f>SUMIFS(Master!$F$3:$F$532,Master!$C$3:$C$532,Z$2,Master!$E$3:$E$532,"&gt;="&amp;$A29,Master!$E$3:$E$532,"&lt;"&amp;($A29+1),Master!$H$3:$H$532,"captured")</f>
        <v>0</v>
      </c>
      <c r="AA29" s="10">
        <f>SUMIFS(Master!$F$3:$F$532,Master!$C$3:$C$532,AA$2,Master!$E$3:$E$532,"&gt;="&amp;$A29,Master!$E$3:$E$532,"&lt;"&amp;($A29+1),Master!$H$3:$H$532,"captured")</f>
        <v>0</v>
      </c>
      <c r="AB29" s="10">
        <f>SUMIFS(Master!$F$3:$F$532,Master!$C$3:$C$532,AB$2,Master!$E$3:$E$532,"&gt;="&amp;$A29,Master!$E$3:$E$532,"&lt;"&amp;($A29+1),Master!$H$3:$H$532,"captured")</f>
        <v>0</v>
      </c>
      <c r="AC29" s="10">
        <f>SUMIFS(Master!$F$3:$F$532,Master!$C$3:$C$532,AC$2,Master!$E$3:$E$532,"&gt;="&amp;$A29,Master!$E$3:$E$532,"&lt;"&amp;($A29+1),Master!$H$3:$H$532,"captured")</f>
        <v>0</v>
      </c>
      <c r="AD29" s="10">
        <f>SUMIFS(Master!$F$3:$F$532,Master!$C$3:$C$532,AD$2,Master!$E$3:$E$532,"&gt;="&amp;$A29,Master!$E$3:$E$532,"&lt;"&amp;($A29+1),Master!$H$3:$H$532,"captured")</f>
        <v>99</v>
      </c>
      <c r="AE29" s="10">
        <f>SUMIFS(Master!$F$3:$F$532,Master!$C$3:$C$532,AE$2,Master!$E$3:$E$532,"&gt;="&amp;$A29,Master!$E$3:$E$532,"&lt;"&amp;($A29+1),Master!$H$3:$H$532,"captured")</f>
        <v>0</v>
      </c>
      <c r="AF29" s="10">
        <f>SUMIFS(Master!$F$3:$F$532,Master!$C$3:$C$532,AF$2,Master!$E$3:$E$532,"&gt;="&amp;$A29,Master!$E$3:$E$532,"&lt;"&amp;($A29+1),Master!$H$3:$H$532,"captured")</f>
        <v>0</v>
      </c>
      <c r="AG29" s="10">
        <f>SUMIFS(Master!$F$3:$F$532,Master!$C$3:$C$532,AG$2,Master!$E$3:$E$532,"&gt;="&amp;$A29,Master!$E$3:$E$532,"&lt;"&amp;($A29+1),Master!$H$3:$H$532,"captured")</f>
        <v>1499</v>
      </c>
      <c r="AH29" s="10">
        <f>SUMIFS(Master!$F$3:$F$532,Master!$C$3:$C$532,AH$2,Master!$E$3:$E$532,"&gt;="&amp;$A29,Master!$E$3:$E$532,"&lt;"&amp;($A29+1),Master!$H$3:$H$532,"captured")</f>
        <v>0</v>
      </c>
      <c r="AI29" s="10">
        <f>SUMIFS(Master!$F$3:$F$532,Master!$C$3:$C$532,AI$2,Master!$E$3:$E$532,"&gt;="&amp;$A29,Master!$E$3:$E$532,"&lt;"&amp;($A29+1),Master!$H$3:$H$532,"captured")</f>
        <v>0</v>
      </c>
      <c r="AJ29" s="10">
        <f>SUMIFS(Master!$F$3:$F$532,Master!$C$3:$C$532,AJ$2,Master!$E$3:$E$532,"&gt;="&amp;$A29,Master!$E$3:$E$532,"&lt;"&amp;($A29+1),Master!$H$3:$H$532,"captured")</f>
        <v>0</v>
      </c>
      <c r="AK29" s="10">
        <f>SUMIFS(Master!$F$3:$F$532,Master!$C$3:$C$532,AK$2,Master!$E$3:$E$532,"&gt;="&amp;$A29,Master!$E$3:$E$532,"&lt;"&amp;($A29+1),Master!$H$3:$H$532,"captured")</f>
        <v>0</v>
      </c>
      <c r="AL29" s="10">
        <f>SUMIFS(Master!$F$3:$F$532,Master!$C$3:$C$532,AL$2,Master!$E$3:$E$532,"&gt;="&amp;$A29,Master!$E$3:$E$532,"&lt;"&amp;($A29+1),Master!$H$3:$H$532,"captured")</f>
        <v>799</v>
      </c>
      <c r="AM29" s="10">
        <f>SUMIFS(Master!$F$3:$F$532,Master!$C$3:$C$532,AM$2,Master!$E$3:$E$532,"&gt;="&amp;$A29,Master!$E$3:$E$532,"&lt;"&amp;($A29+1),Master!$H$3:$H$532,"captured")</f>
        <v>0</v>
      </c>
      <c r="AN29" s="10">
        <f>SUMIFS(Master!$F$3:$F$532,Master!$C$3:$C$532,AN$2,Master!$E$3:$E$532,"&gt;="&amp;$A29,Master!$E$3:$E$532,"&lt;"&amp;($A29+1),Master!$H$3:$H$532,"captured")</f>
        <v>0</v>
      </c>
      <c r="AO29" s="10">
        <f>SUMIFS(Master!$F$3:$F$532,Master!$C$3:$C$532,AO$2,Master!$E$3:$E$532,"&gt;="&amp;$A29,Master!$E$3:$E$532,"&lt;"&amp;($A29+1),Master!$H$3:$H$532,"captured")</f>
        <v>0</v>
      </c>
    </row>
    <row r="30" spans="1:41" x14ac:dyDescent="0.25">
      <c r="A30" s="9">
        <v>46050</v>
      </c>
      <c r="B30" s="10">
        <f>SUMIFS(Master!$F$3:$F$532,Master!$C$3:$C$532,B$2,Master!$E$3:$E$532,"&gt;="&amp;$A30,Master!$E$3:$E$532,"&lt;"&amp;($A30+1),Master!$H$3:$H$532,"captured")</f>
        <v>0</v>
      </c>
      <c r="C30" s="10">
        <f>SUMIFS(Master!$F$3:$F$532,Master!$C$3:$C$532,C$2,Master!$E$3:$E$532,"&gt;="&amp;$A30,Master!$E$3:$E$532,"&lt;"&amp;($A30+1),Master!$H$3:$H$532,"captured")</f>
        <v>0</v>
      </c>
      <c r="D30" s="10">
        <f>SUMIFS(Master!$F$3:$F$532,Master!$C$3:$C$532,D$2,Master!$E$3:$E$532,"&gt;="&amp;$A30,Master!$E$3:$E$532,"&lt;"&amp;($A30+1),Master!$H$3:$H$532,"captured")</f>
        <v>0</v>
      </c>
      <c r="E30" s="10">
        <f>SUMIFS(Master!$F$3:$F$532,Master!$C$3:$C$532,E$2,Master!$E$3:$E$532,"&gt;="&amp;$A30,Master!$E$3:$E$532,"&lt;"&amp;($A30+1),Master!$H$3:$H$532,"captured")</f>
        <v>0</v>
      </c>
      <c r="F30" s="10">
        <f>SUMIFS(Master!$F$3:$F$532,Master!$C$3:$C$532,F$2,Master!$E$3:$E$532,"&gt;="&amp;$A30,Master!$E$3:$E$532,"&lt;"&amp;($A30+1),Master!$H$3:$H$532,"captured")</f>
        <v>0</v>
      </c>
      <c r="G30" s="10">
        <f>SUMIFS(Master!$F$3:$F$532,Master!$C$3:$C$532,G$2,Master!$E$3:$E$532,"&gt;="&amp;$A30,Master!$E$3:$E$532,"&lt;"&amp;($A30+1),Master!$H$3:$H$532,"captured")</f>
        <v>0</v>
      </c>
      <c r="H30" s="10">
        <f>SUMIFS(Master!$F$3:$F$532,Master!$C$3:$C$532,H$2,Master!$E$3:$E$532,"&gt;="&amp;$A30,Master!$E$3:$E$532,"&lt;"&amp;($A30+1),Master!$H$3:$H$532,"captured")</f>
        <v>0</v>
      </c>
      <c r="I30" s="10">
        <f>SUMIFS(Master!$F$3:$F$532,Master!$C$3:$C$532,I$2,Master!$E$3:$E$532,"&gt;="&amp;$A30,Master!$E$3:$E$532,"&lt;"&amp;($A30+1),Master!$H$3:$H$532,"captured")</f>
        <v>0</v>
      </c>
      <c r="J30" s="10">
        <f>SUMIFS(Master!$F$3:$F$532,Master!$C$3:$C$532,J$2,Master!$E$3:$E$532,"&gt;="&amp;$A30,Master!$E$3:$E$532,"&lt;"&amp;($A30+1),Master!$H$3:$H$532,"captured")</f>
        <v>0</v>
      </c>
      <c r="K30" s="10">
        <f>SUMIFS(Master!$F$3:$F$532,Master!$C$3:$C$532,K$2,Master!$E$3:$E$532,"&gt;="&amp;$A30,Master!$E$3:$E$532,"&lt;"&amp;($A30+1),Master!$H$3:$H$532,"captured")</f>
        <v>0</v>
      </c>
      <c r="L30" s="10">
        <f>SUMIFS(Master!$F$3:$F$532,Master!$C$3:$C$532,L$2,Master!$E$3:$E$532,"&gt;="&amp;$A30,Master!$E$3:$E$532,"&lt;"&amp;($A30+1),Master!$H$3:$H$532,"captured")</f>
        <v>0</v>
      </c>
      <c r="M30" s="10">
        <f>SUMIFS(Master!$F$3:$F$532,Master!$C$3:$C$532,M$2,Master!$E$3:$E$532,"&gt;="&amp;$A30,Master!$E$3:$E$532,"&lt;"&amp;($A30+1),Master!$H$3:$H$532,"captured")</f>
        <v>0</v>
      </c>
      <c r="N30" s="10">
        <f>SUMIFS(Master!$F$3:$F$532,Master!$C$3:$C$532,N$2,Master!$E$3:$E$532,"&gt;="&amp;$A30,Master!$E$3:$E$532,"&lt;"&amp;($A30+1),Master!$H$3:$H$532,"captured")</f>
        <v>3099</v>
      </c>
      <c r="O30" s="10">
        <f>SUMIFS(Master!$F$3:$F$532,Master!$C$3:$C$532,O$2,Master!$E$3:$E$532,"&gt;="&amp;$A30,Master!$E$3:$E$532,"&lt;"&amp;($A30+1),Master!$H$3:$H$532,"captured")</f>
        <v>0</v>
      </c>
      <c r="P30" s="10">
        <f>SUMIFS(Master!$F$3:$F$532,Master!$C$3:$C$532,P$2,Master!$E$3:$E$532,"&gt;="&amp;$A30,Master!$E$3:$E$532,"&lt;"&amp;($A30+1),Master!$H$3:$H$532,"captured")</f>
        <v>0</v>
      </c>
      <c r="Q30" s="10">
        <f>SUMIFS(Master!$F$3:$F$532,Master!$C$3:$C$532,Q$2,Master!$E$3:$E$532,"&gt;="&amp;$A30,Master!$E$3:$E$532,"&lt;"&amp;($A30+1),Master!$H$3:$H$532,"captured")</f>
        <v>49</v>
      </c>
      <c r="R30" s="10">
        <f>SUMIFS(Master!$F$3:$F$532,Master!$C$3:$C$532,R$2,Master!$E$3:$E$532,"&gt;="&amp;$A30,Master!$E$3:$E$532,"&lt;"&amp;($A30+1),Master!$H$3:$H$532,"captured")</f>
        <v>299</v>
      </c>
      <c r="S30" s="10">
        <f>SUMIFS(Master!$F$3:$F$532,Master!$C$3:$C$532,S$2,Master!$E$3:$E$532,"&gt;="&amp;$A30,Master!$E$3:$E$532,"&lt;"&amp;($A30+1),Master!$H$3:$H$532,"captured")</f>
        <v>0</v>
      </c>
      <c r="T30" s="10">
        <f>SUMIFS(Master!$F$3:$F$532,Master!$C$3:$C$532,T$2,Master!$E$3:$E$532,"&gt;="&amp;$A30,Master!$E$3:$E$532,"&lt;"&amp;($A30+1),Master!$H$3:$H$532,"captured")</f>
        <v>0</v>
      </c>
      <c r="U30" s="10">
        <f>SUMIFS(Master!$F$3:$F$532,Master!$C$3:$C$532,U$2,Master!$E$3:$E$532,"&gt;="&amp;$A30,Master!$E$3:$E$532,"&lt;"&amp;($A30+1),Master!$H$3:$H$532,"captured")</f>
        <v>0</v>
      </c>
      <c r="V30" s="10">
        <f>SUMIFS(Master!$F$3:$F$532,Master!$C$3:$C$532,V$2,Master!$E$3:$E$532,"&gt;="&amp;$A30,Master!$E$3:$E$532,"&lt;"&amp;($A30+1),Master!$H$3:$H$532,"captured")</f>
        <v>0</v>
      </c>
      <c r="W30" s="10">
        <f>SUMIFS(Master!$F$3:$F$532,Master!$C$3:$C$532,W$2,Master!$E$3:$E$532,"&gt;="&amp;$A30,Master!$E$3:$E$532,"&lt;"&amp;($A30+1),Master!$H$3:$H$532,"captured")</f>
        <v>0</v>
      </c>
      <c r="X30" s="10">
        <f>SUMIFS(Master!$F$3:$F$532,Master!$C$3:$C$532,X$2,Master!$E$3:$E$532,"&gt;="&amp;$A30,Master!$E$3:$E$532,"&lt;"&amp;($A30+1),Master!$H$3:$H$532,"captured")</f>
        <v>0</v>
      </c>
      <c r="Y30" s="10">
        <f>SUMIFS(Master!$F$3:$F$532,Master!$C$3:$C$532,Y$2,Master!$E$3:$E$532,"&gt;="&amp;$A30,Master!$E$3:$E$532,"&lt;"&amp;($A30+1),Master!$H$3:$H$532,"captured")</f>
        <v>0</v>
      </c>
      <c r="Z30" s="10">
        <f>SUMIFS(Master!$F$3:$F$532,Master!$C$3:$C$532,Z$2,Master!$E$3:$E$532,"&gt;="&amp;$A30,Master!$E$3:$E$532,"&lt;"&amp;($A30+1),Master!$H$3:$H$532,"captured")</f>
        <v>299</v>
      </c>
      <c r="AA30" s="10">
        <f>SUMIFS(Master!$F$3:$F$532,Master!$C$3:$C$532,AA$2,Master!$E$3:$E$532,"&gt;="&amp;$A30,Master!$E$3:$E$532,"&lt;"&amp;($A30+1),Master!$H$3:$H$532,"captured")</f>
        <v>1499</v>
      </c>
      <c r="AB30" s="10">
        <f>SUMIFS(Master!$F$3:$F$532,Master!$C$3:$C$532,AB$2,Master!$E$3:$E$532,"&gt;="&amp;$A30,Master!$E$3:$E$532,"&lt;"&amp;($A30+1),Master!$H$3:$H$532,"captured")</f>
        <v>0</v>
      </c>
      <c r="AC30" s="10">
        <f>SUMIFS(Master!$F$3:$F$532,Master!$C$3:$C$532,AC$2,Master!$E$3:$E$532,"&gt;="&amp;$A30,Master!$E$3:$E$532,"&lt;"&amp;($A30+1),Master!$H$3:$H$532,"captured")</f>
        <v>0</v>
      </c>
      <c r="AD30" s="10">
        <f>SUMIFS(Master!$F$3:$F$532,Master!$C$3:$C$532,AD$2,Master!$E$3:$E$532,"&gt;="&amp;$A30,Master!$E$3:$E$532,"&lt;"&amp;($A30+1),Master!$H$3:$H$532,"captured")</f>
        <v>149</v>
      </c>
      <c r="AE30" s="10">
        <f>SUMIFS(Master!$F$3:$F$532,Master!$C$3:$C$532,AE$2,Master!$E$3:$E$532,"&gt;="&amp;$A30,Master!$E$3:$E$532,"&lt;"&amp;($A30+1),Master!$H$3:$H$532,"captured")</f>
        <v>49</v>
      </c>
      <c r="AF30" s="10">
        <f>SUMIFS(Master!$F$3:$F$532,Master!$C$3:$C$532,AF$2,Master!$E$3:$E$532,"&gt;="&amp;$A30,Master!$E$3:$E$532,"&lt;"&amp;($A30+1),Master!$H$3:$H$532,"captured")</f>
        <v>0</v>
      </c>
      <c r="AG30" s="10">
        <f>SUMIFS(Master!$F$3:$F$532,Master!$C$3:$C$532,AG$2,Master!$E$3:$E$532,"&gt;="&amp;$A30,Master!$E$3:$E$532,"&lt;"&amp;($A30+1),Master!$H$3:$H$532,"captured")</f>
        <v>0</v>
      </c>
      <c r="AH30" s="10">
        <f>SUMIFS(Master!$F$3:$F$532,Master!$C$3:$C$532,AH$2,Master!$E$3:$E$532,"&gt;="&amp;$A30,Master!$E$3:$E$532,"&lt;"&amp;($A30+1),Master!$H$3:$H$532,"captured")</f>
        <v>0</v>
      </c>
      <c r="AI30" s="10">
        <f>SUMIFS(Master!$F$3:$F$532,Master!$C$3:$C$532,AI$2,Master!$E$3:$E$532,"&gt;="&amp;$A30,Master!$E$3:$E$532,"&lt;"&amp;($A30+1),Master!$H$3:$H$532,"captured")</f>
        <v>0</v>
      </c>
      <c r="AJ30" s="10">
        <f>SUMIFS(Master!$F$3:$F$532,Master!$C$3:$C$532,AJ$2,Master!$E$3:$E$532,"&gt;="&amp;$A30,Master!$E$3:$E$532,"&lt;"&amp;($A30+1),Master!$H$3:$H$532,"captured")</f>
        <v>49</v>
      </c>
      <c r="AK30" s="10">
        <f>SUMIFS(Master!$F$3:$F$532,Master!$C$3:$C$532,AK$2,Master!$E$3:$E$532,"&gt;="&amp;$A30,Master!$E$3:$E$532,"&lt;"&amp;($A30+1),Master!$H$3:$H$532,"captured")</f>
        <v>0</v>
      </c>
      <c r="AL30" s="10">
        <f>SUMIFS(Master!$F$3:$F$532,Master!$C$3:$C$532,AL$2,Master!$E$3:$E$532,"&gt;="&amp;$A30,Master!$E$3:$E$532,"&lt;"&amp;($A30+1),Master!$H$3:$H$532,"captured")</f>
        <v>99</v>
      </c>
      <c r="AM30" s="10">
        <f>SUMIFS(Master!$F$3:$F$532,Master!$C$3:$C$532,AM$2,Master!$E$3:$E$532,"&gt;="&amp;$A30,Master!$E$3:$E$532,"&lt;"&amp;($A30+1),Master!$H$3:$H$532,"captured")</f>
        <v>0</v>
      </c>
      <c r="AN30" s="10">
        <f>SUMIFS(Master!$F$3:$F$532,Master!$C$3:$C$532,AN$2,Master!$E$3:$E$532,"&gt;="&amp;$A30,Master!$E$3:$E$532,"&lt;"&amp;($A30+1),Master!$H$3:$H$532,"captured")</f>
        <v>0</v>
      </c>
      <c r="AO30" s="10">
        <f>SUMIFS(Master!$F$3:$F$532,Master!$C$3:$C$532,AO$2,Master!$E$3:$E$532,"&gt;="&amp;$A30,Master!$E$3:$E$532,"&lt;"&amp;($A30+1),Master!$H$3:$H$532,"captured")</f>
        <v>0</v>
      </c>
    </row>
    <row r="31" spans="1:41" x14ac:dyDescent="0.25">
      <c r="A31" s="9">
        <v>46051</v>
      </c>
      <c r="B31" s="10">
        <f>SUMIFS(Master!$F$3:$F$532,Master!$C$3:$C$532,B$2,Master!$E$3:$E$532,"&gt;="&amp;$A31,Master!$E$3:$E$532,"&lt;"&amp;($A31+1),Master!$H$3:$H$532,"captured")</f>
        <v>0</v>
      </c>
      <c r="C31" s="10">
        <f>SUMIFS(Master!$F$3:$F$532,Master!$C$3:$C$532,C$2,Master!$E$3:$E$532,"&gt;="&amp;$A31,Master!$E$3:$E$532,"&lt;"&amp;($A31+1),Master!$H$3:$H$532,"captured")</f>
        <v>0</v>
      </c>
      <c r="D31" s="10">
        <f>SUMIFS(Master!$F$3:$F$532,Master!$C$3:$C$532,D$2,Master!$E$3:$E$532,"&gt;="&amp;$A31,Master!$E$3:$E$532,"&lt;"&amp;($A31+1),Master!$H$3:$H$532,"captured")</f>
        <v>49</v>
      </c>
      <c r="E31" s="10">
        <f>SUMIFS(Master!$F$3:$F$532,Master!$C$3:$C$532,E$2,Master!$E$3:$E$532,"&gt;="&amp;$A31,Master!$E$3:$E$532,"&lt;"&amp;($A31+1),Master!$H$3:$H$532,"captured")</f>
        <v>0</v>
      </c>
      <c r="F31" s="10">
        <f>SUMIFS(Master!$F$3:$F$532,Master!$C$3:$C$532,F$2,Master!$E$3:$E$532,"&gt;="&amp;$A31,Master!$E$3:$E$532,"&lt;"&amp;($A31+1),Master!$H$3:$H$532,"captured")</f>
        <v>0</v>
      </c>
      <c r="G31" s="10">
        <f>SUMIFS(Master!$F$3:$F$532,Master!$C$3:$C$532,G$2,Master!$E$3:$E$532,"&gt;="&amp;$A31,Master!$E$3:$E$532,"&lt;"&amp;($A31+1),Master!$H$3:$H$532,"captured")</f>
        <v>0</v>
      </c>
      <c r="H31" s="10">
        <f>SUMIFS(Master!$F$3:$F$532,Master!$C$3:$C$532,H$2,Master!$E$3:$E$532,"&gt;="&amp;$A31,Master!$E$3:$E$532,"&lt;"&amp;($A31+1),Master!$H$3:$H$532,"captured")</f>
        <v>0</v>
      </c>
      <c r="I31" s="10">
        <f>SUMIFS(Master!$F$3:$F$532,Master!$C$3:$C$532,I$2,Master!$E$3:$E$532,"&gt;="&amp;$A31,Master!$E$3:$E$532,"&lt;"&amp;($A31+1),Master!$H$3:$H$532,"captured")</f>
        <v>0</v>
      </c>
      <c r="J31" s="10">
        <f>SUMIFS(Master!$F$3:$F$532,Master!$C$3:$C$532,J$2,Master!$E$3:$E$532,"&gt;="&amp;$A31,Master!$E$3:$E$532,"&lt;"&amp;($A31+1),Master!$H$3:$H$532,"captured")</f>
        <v>0</v>
      </c>
      <c r="K31" s="10">
        <f>SUMIFS(Master!$F$3:$F$532,Master!$C$3:$C$532,K$2,Master!$E$3:$E$532,"&gt;="&amp;$A31,Master!$E$3:$E$532,"&lt;"&amp;($A31+1),Master!$H$3:$H$532,"captured")</f>
        <v>799</v>
      </c>
      <c r="L31" s="10">
        <f>SUMIFS(Master!$F$3:$F$532,Master!$C$3:$C$532,L$2,Master!$E$3:$E$532,"&gt;="&amp;$A31,Master!$E$3:$E$532,"&lt;"&amp;($A31+1),Master!$H$3:$H$532,"captured")</f>
        <v>0</v>
      </c>
      <c r="M31" s="10">
        <f>SUMIFS(Master!$F$3:$F$532,Master!$C$3:$C$532,M$2,Master!$E$3:$E$532,"&gt;="&amp;$A31,Master!$E$3:$E$532,"&lt;"&amp;($A31+1),Master!$H$3:$H$532,"captured")</f>
        <v>0</v>
      </c>
      <c r="N31" s="10">
        <f>SUMIFS(Master!$F$3:$F$532,Master!$C$3:$C$532,N$2,Master!$E$3:$E$532,"&gt;="&amp;$A31,Master!$E$3:$E$532,"&lt;"&amp;($A31+1),Master!$H$3:$H$532,"captured")</f>
        <v>0</v>
      </c>
      <c r="O31" s="10">
        <f>SUMIFS(Master!$F$3:$F$532,Master!$C$3:$C$532,O$2,Master!$E$3:$E$532,"&gt;="&amp;$A31,Master!$E$3:$E$532,"&lt;"&amp;($A31+1),Master!$H$3:$H$532,"captured")</f>
        <v>0</v>
      </c>
      <c r="P31" s="10">
        <f>SUMIFS(Master!$F$3:$F$532,Master!$C$3:$C$532,P$2,Master!$E$3:$E$532,"&gt;="&amp;$A31,Master!$E$3:$E$532,"&lt;"&amp;($A31+1),Master!$H$3:$H$532,"captured")</f>
        <v>98</v>
      </c>
      <c r="Q31" s="10">
        <f>SUMIFS(Master!$F$3:$F$532,Master!$C$3:$C$532,Q$2,Master!$E$3:$E$532,"&gt;="&amp;$A31,Master!$E$3:$E$532,"&lt;"&amp;($A31+1),Master!$H$3:$H$532,"captured")</f>
        <v>0</v>
      </c>
      <c r="R31" s="10">
        <f>SUMIFS(Master!$F$3:$F$532,Master!$C$3:$C$532,R$2,Master!$E$3:$E$532,"&gt;="&amp;$A31,Master!$E$3:$E$532,"&lt;"&amp;($A31+1),Master!$H$3:$H$532,"captured")</f>
        <v>0</v>
      </c>
      <c r="S31" s="10">
        <f>SUMIFS(Master!$F$3:$F$532,Master!$C$3:$C$532,S$2,Master!$E$3:$E$532,"&gt;="&amp;$A31,Master!$E$3:$E$532,"&lt;"&amp;($A31+1),Master!$H$3:$H$532,"captured")</f>
        <v>0</v>
      </c>
      <c r="T31" s="10">
        <f>SUMIFS(Master!$F$3:$F$532,Master!$C$3:$C$532,T$2,Master!$E$3:$E$532,"&gt;="&amp;$A31,Master!$E$3:$E$532,"&lt;"&amp;($A31+1),Master!$H$3:$H$532,"captured")</f>
        <v>0</v>
      </c>
      <c r="U31" s="10">
        <f>SUMIFS(Master!$F$3:$F$532,Master!$C$3:$C$532,U$2,Master!$E$3:$E$532,"&gt;="&amp;$A31,Master!$E$3:$E$532,"&lt;"&amp;($A31+1),Master!$H$3:$H$532,"captured")</f>
        <v>499</v>
      </c>
      <c r="V31" s="10">
        <f>SUMIFS(Master!$F$3:$F$532,Master!$C$3:$C$532,V$2,Master!$E$3:$E$532,"&gt;="&amp;$A31,Master!$E$3:$E$532,"&lt;"&amp;($A31+1),Master!$H$3:$H$532,"captured")</f>
        <v>0</v>
      </c>
      <c r="W31" s="10">
        <f>SUMIFS(Master!$F$3:$F$532,Master!$C$3:$C$532,W$2,Master!$E$3:$E$532,"&gt;="&amp;$A31,Master!$E$3:$E$532,"&lt;"&amp;($A31+1),Master!$H$3:$H$532,"captured")</f>
        <v>49</v>
      </c>
      <c r="X31" s="10">
        <f>SUMIFS(Master!$F$3:$F$532,Master!$C$3:$C$532,X$2,Master!$E$3:$E$532,"&gt;="&amp;$A31,Master!$E$3:$E$532,"&lt;"&amp;($A31+1),Master!$H$3:$H$532,"captured")</f>
        <v>0</v>
      </c>
      <c r="Y31" s="10">
        <f>SUMIFS(Master!$F$3:$F$532,Master!$C$3:$C$532,Y$2,Master!$E$3:$E$532,"&gt;="&amp;$A31,Master!$E$3:$E$532,"&lt;"&amp;($A31+1),Master!$H$3:$H$532,"captured")</f>
        <v>0</v>
      </c>
      <c r="Z31" s="10">
        <f>SUMIFS(Master!$F$3:$F$532,Master!$C$3:$C$532,Z$2,Master!$E$3:$E$532,"&gt;="&amp;$A31,Master!$E$3:$E$532,"&lt;"&amp;($A31+1),Master!$H$3:$H$532,"captured")</f>
        <v>49</v>
      </c>
      <c r="AA31" s="10">
        <f>SUMIFS(Master!$F$3:$F$532,Master!$C$3:$C$532,AA$2,Master!$E$3:$E$532,"&gt;="&amp;$A31,Master!$E$3:$E$532,"&lt;"&amp;($A31+1),Master!$H$3:$H$532,"captured")</f>
        <v>148</v>
      </c>
      <c r="AB31" s="10">
        <f>SUMIFS(Master!$F$3:$F$532,Master!$C$3:$C$532,AB$2,Master!$E$3:$E$532,"&gt;="&amp;$A31,Master!$E$3:$E$532,"&lt;"&amp;($A31+1),Master!$H$3:$H$532,"captured")</f>
        <v>0</v>
      </c>
      <c r="AC31" s="10">
        <f>SUMIFS(Master!$F$3:$F$532,Master!$C$3:$C$532,AC$2,Master!$E$3:$E$532,"&gt;="&amp;$A31,Master!$E$3:$E$532,"&lt;"&amp;($A31+1),Master!$H$3:$H$532,"captured")</f>
        <v>0</v>
      </c>
      <c r="AD31" s="10">
        <f>SUMIFS(Master!$F$3:$F$532,Master!$C$3:$C$532,AD$2,Master!$E$3:$E$532,"&gt;="&amp;$A31,Master!$E$3:$E$532,"&lt;"&amp;($A31+1),Master!$H$3:$H$532,"captured")</f>
        <v>0</v>
      </c>
      <c r="AE31" s="10">
        <f>SUMIFS(Master!$F$3:$F$532,Master!$C$3:$C$532,AE$2,Master!$E$3:$E$532,"&gt;="&amp;$A31,Master!$E$3:$E$532,"&lt;"&amp;($A31+1),Master!$H$3:$H$532,"captured")</f>
        <v>149</v>
      </c>
      <c r="AF31" s="10">
        <f>SUMIFS(Master!$F$3:$F$532,Master!$C$3:$C$532,AF$2,Master!$E$3:$E$532,"&gt;="&amp;$A31,Master!$E$3:$E$532,"&lt;"&amp;($A31+1),Master!$H$3:$H$532,"captured")</f>
        <v>0</v>
      </c>
      <c r="AG31" s="10">
        <f>SUMIFS(Master!$F$3:$F$532,Master!$C$3:$C$532,AG$2,Master!$E$3:$E$532,"&gt;="&amp;$A31,Master!$E$3:$E$532,"&lt;"&amp;($A31+1),Master!$H$3:$H$532,"captured")</f>
        <v>0</v>
      </c>
      <c r="AH31" s="10">
        <f>SUMIFS(Master!$F$3:$F$532,Master!$C$3:$C$532,AH$2,Master!$E$3:$E$532,"&gt;="&amp;$A31,Master!$E$3:$E$532,"&lt;"&amp;($A31+1),Master!$H$3:$H$532,"captured")</f>
        <v>0</v>
      </c>
      <c r="AI31" s="10">
        <f>SUMIFS(Master!$F$3:$F$532,Master!$C$3:$C$532,AI$2,Master!$E$3:$E$532,"&gt;="&amp;$A31,Master!$E$3:$E$532,"&lt;"&amp;($A31+1),Master!$H$3:$H$532,"captured")</f>
        <v>0</v>
      </c>
      <c r="AJ31" s="10">
        <f>SUMIFS(Master!$F$3:$F$532,Master!$C$3:$C$532,AJ$2,Master!$E$3:$E$532,"&gt;="&amp;$A31,Master!$E$3:$E$532,"&lt;"&amp;($A31+1),Master!$H$3:$H$532,"captured")</f>
        <v>0</v>
      </c>
      <c r="AK31" s="10">
        <f>SUMIFS(Master!$F$3:$F$532,Master!$C$3:$C$532,AK$2,Master!$E$3:$E$532,"&gt;="&amp;$A31,Master!$E$3:$E$532,"&lt;"&amp;($A31+1),Master!$H$3:$H$532,"captured")</f>
        <v>799</v>
      </c>
      <c r="AL31" s="10">
        <f>SUMIFS(Master!$F$3:$F$532,Master!$C$3:$C$532,AL$2,Master!$E$3:$E$532,"&gt;="&amp;$A31,Master!$E$3:$E$532,"&lt;"&amp;($A31+1),Master!$H$3:$H$532,"captured")</f>
        <v>149</v>
      </c>
      <c r="AM31" s="10">
        <f>SUMIFS(Master!$F$3:$F$532,Master!$C$3:$C$532,AM$2,Master!$E$3:$E$532,"&gt;="&amp;$A31,Master!$E$3:$E$532,"&lt;"&amp;($A31+1),Master!$H$3:$H$532,"captured")</f>
        <v>0</v>
      </c>
      <c r="AN31" s="10">
        <f>SUMIFS(Master!$F$3:$F$532,Master!$C$3:$C$532,AN$2,Master!$E$3:$E$532,"&gt;="&amp;$A31,Master!$E$3:$E$532,"&lt;"&amp;($A31+1),Master!$H$3:$H$532,"captured")</f>
        <v>149</v>
      </c>
      <c r="AO31" s="10">
        <f>SUMIFS(Master!$F$3:$F$532,Master!$C$3:$C$532,AO$2,Master!$E$3:$E$532,"&gt;="&amp;$A31,Master!$E$3:$E$532,"&lt;"&amp;($A31+1),Master!$H$3:$H$532,"captured")</f>
        <v>0</v>
      </c>
    </row>
    <row r="32" spans="1:41" x14ac:dyDescent="0.25">
      <c r="A32" s="9">
        <v>46052</v>
      </c>
      <c r="B32" s="10">
        <f>SUMIFS(Master!$F$3:$F$532,Master!$C$3:$C$532,B$2,Master!$E$3:$E$532,"&gt;="&amp;$A32,Master!$E$3:$E$532,"&lt;"&amp;($A32+1),Master!$H$3:$H$532,"captured")</f>
        <v>0</v>
      </c>
      <c r="C32" s="10">
        <f>SUMIFS(Master!$F$3:$F$532,Master!$C$3:$C$532,C$2,Master!$E$3:$E$532,"&gt;="&amp;$A32,Master!$E$3:$E$532,"&lt;"&amp;($A32+1),Master!$H$3:$H$532,"captured")</f>
        <v>299</v>
      </c>
      <c r="D32" s="10">
        <f>SUMIFS(Master!$F$3:$F$532,Master!$C$3:$C$532,D$2,Master!$E$3:$E$532,"&gt;="&amp;$A32,Master!$E$3:$E$532,"&lt;"&amp;($A32+1),Master!$H$3:$H$532,"captured")</f>
        <v>49</v>
      </c>
      <c r="E32" s="10">
        <f>SUMIFS(Master!$F$3:$F$532,Master!$C$3:$C$532,E$2,Master!$E$3:$E$532,"&gt;="&amp;$A32,Master!$E$3:$E$532,"&lt;"&amp;($A32+1),Master!$H$3:$H$532,"captured")</f>
        <v>0</v>
      </c>
      <c r="F32" s="10">
        <f>SUMIFS(Master!$F$3:$F$532,Master!$C$3:$C$532,F$2,Master!$E$3:$E$532,"&gt;="&amp;$A32,Master!$E$3:$E$532,"&lt;"&amp;($A32+1),Master!$H$3:$H$532,"captured")</f>
        <v>2999</v>
      </c>
      <c r="G32" s="10">
        <f>SUMIFS(Master!$F$3:$F$532,Master!$C$3:$C$532,G$2,Master!$E$3:$E$532,"&gt;="&amp;$A32,Master!$E$3:$E$532,"&lt;"&amp;($A32+1),Master!$H$3:$H$532,"captured")</f>
        <v>0</v>
      </c>
      <c r="H32" s="10">
        <f>SUMIFS(Master!$F$3:$F$532,Master!$C$3:$C$532,H$2,Master!$E$3:$E$532,"&gt;="&amp;$A32,Master!$E$3:$E$532,"&lt;"&amp;($A32+1),Master!$H$3:$H$532,"captured")</f>
        <v>0</v>
      </c>
      <c r="I32" s="10">
        <f>SUMIFS(Master!$F$3:$F$532,Master!$C$3:$C$532,I$2,Master!$E$3:$E$532,"&gt;="&amp;$A32,Master!$E$3:$E$532,"&lt;"&amp;($A32+1),Master!$H$3:$H$532,"captured")</f>
        <v>99</v>
      </c>
      <c r="J32" s="10">
        <f>SUMIFS(Master!$F$3:$F$532,Master!$C$3:$C$532,J$2,Master!$E$3:$E$532,"&gt;="&amp;$A32,Master!$E$3:$E$532,"&lt;"&amp;($A32+1),Master!$H$3:$H$532,"captured")</f>
        <v>0</v>
      </c>
      <c r="K32" s="10">
        <f>SUMIFS(Master!$F$3:$F$532,Master!$C$3:$C$532,K$2,Master!$E$3:$E$532,"&gt;="&amp;$A32,Master!$E$3:$E$532,"&lt;"&amp;($A32+1),Master!$H$3:$H$532,"captured")</f>
        <v>0</v>
      </c>
      <c r="L32" s="10">
        <f>SUMIFS(Master!$F$3:$F$532,Master!$C$3:$C$532,L$2,Master!$E$3:$E$532,"&gt;="&amp;$A32,Master!$E$3:$E$532,"&lt;"&amp;($A32+1),Master!$H$3:$H$532,"captured")</f>
        <v>0</v>
      </c>
      <c r="M32" s="10">
        <f>SUMIFS(Master!$F$3:$F$532,Master!$C$3:$C$532,M$2,Master!$E$3:$E$532,"&gt;="&amp;$A32,Master!$E$3:$E$532,"&lt;"&amp;($A32+1),Master!$H$3:$H$532,"captured")</f>
        <v>4999</v>
      </c>
      <c r="N32" s="10">
        <f>SUMIFS(Master!$F$3:$F$532,Master!$C$3:$C$532,N$2,Master!$E$3:$E$532,"&gt;="&amp;$A32,Master!$E$3:$E$532,"&lt;"&amp;($A32+1),Master!$H$3:$H$532,"captured")</f>
        <v>0</v>
      </c>
      <c r="O32" s="10">
        <f>SUMIFS(Master!$F$3:$F$532,Master!$C$3:$C$532,O$2,Master!$E$3:$E$532,"&gt;="&amp;$A32,Master!$E$3:$E$532,"&lt;"&amp;($A32+1),Master!$H$3:$H$532,"captured")</f>
        <v>0</v>
      </c>
      <c r="P32" s="10">
        <f>SUMIFS(Master!$F$3:$F$532,Master!$C$3:$C$532,P$2,Master!$E$3:$E$532,"&gt;="&amp;$A32,Master!$E$3:$E$532,"&lt;"&amp;($A32+1),Master!$H$3:$H$532,"captured")</f>
        <v>0</v>
      </c>
      <c r="Q32" s="10">
        <f>SUMIFS(Master!$F$3:$F$532,Master!$C$3:$C$532,Q$2,Master!$E$3:$E$532,"&gt;="&amp;$A32,Master!$E$3:$E$532,"&lt;"&amp;($A32+1),Master!$H$3:$H$532,"captured")</f>
        <v>898</v>
      </c>
      <c r="R32" s="10">
        <f>SUMIFS(Master!$F$3:$F$532,Master!$C$3:$C$532,R$2,Master!$E$3:$E$532,"&gt;="&amp;$A32,Master!$E$3:$E$532,"&lt;"&amp;($A32+1),Master!$H$3:$H$532,"captured")</f>
        <v>499</v>
      </c>
      <c r="S32" s="10">
        <f>SUMIFS(Master!$F$3:$F$532,Master!$C$3:$C$532,S$2,Master!$E$3:$E$532,"&gt;="&amp;$A32,Master!$E$3:$E$532,"&lt;"&amp;($A32+1),Master!$H$3:$H$532,"captured")</f>
        <v>0</v>
      </c>
      <c r="T32" s="10">
        <f>SUMIFS(Master!$F$3:$F$532,Master!$C$3:$C$532,T$2,Master!$E$3:$E$532,"&gt;="&amp;$A32,Master!$E$3:$E$532,"&lt;"&amp;($A32+1),Master!$H$3:$H$532,"captured")</f>
        <v>0</v>
      </c>
      <c r="U32" s="10">
        <f>SUMIFS(Master!$F$3:$F$532,Master!$C$3:$C$532,U$2,Master!$E$3:$E$532,"&gt;="&amp;$A32,Master!$E$3:$E$532,"&lt;"&amp;($A32+1),Master!$H$3:$H$532,"captured")</f>
        <v>0</v>
      </c>
      <c r="V32" s="10">
        <f>SUMIFS(Master!$F$3:$F$532,Master!$C$3:$C$532,V$2,Master!$E$3:$E$532,"&gt;="&amp;$A32,Master!$E$3:$E$532,"&lt;"&amp;($A32+1),Master!$H$3:$H$532,"captured")</f>
        <v>0</v>
      </c>
      <c r="W32" s="10">
        <f>SUMIFS(Master!$F$3:$F$532,Master!$C$3:$C$532,W$2,Master!$E$3:$E$532,"&gt;="&amp;$A32,Master!$E$3:$E$532,"&lt;"&amp;($A32+1),Master!$H$3:$H$532,"captured")</f>
        <v>0</v>
      </c>
      <c r="X32" s="10">
        <f>SUMIFS(Master!$F$3:$F$532,Master!$C$3:$C$532,X$2,Master!$E$3:$E$532,"&gt;="&amp;$A32,Master!$E$3:$E$532,"&lt;"&amp;($A32+1),Master!$H$3:$H$532,"captured")</f>
        <v>0</v>
      </c>
      <c r="Y32" s="10">
        <f>SUMIFS(Master!$F$3:$F$532,Master!$C$3:$C$532,Y$2,Master!$E$3:$E$532,"&gt;="&amp;$A32,Master!$E$3:$E$532,"&lt;"&amp;($A32+1),Master!$H$3:$H$532,"captured")</f>
        <v>0</v>
      </c>
      <c r="Z32" s="10">
        <f>SUMIFS(Master!$F$3:$F$532,Master!$C$3:$C$532,Z$2,Master!$E$3:$E$532,"&gt;="&amp;$A32,Master!$E$3:$E$532,"&lt;"&amp;($A32+1),Master!$H$3:$H$532,"captured")</f>
        <v>0</v>
      </c>
      <c r="AA32" s="10">
        <f>SUMIFS(Master!$F$3:$F$532,Master!$C$3:$C$532,AA$2,Master!$E$3:$E$532,"&gt;="&amp;$A32,Master!$E$3:$E$532,"&lt;"&amp;($A32+1),Master!$H$3:$H$532,"captured")</f>
        <v>0</v>
      </c>
      <c r="AB32" s="10">
        <f>SUMIFS(Master!$F$3:$F$532,Master!$C$3:$C$532,AB$2,Master!$E$3:$E$532,"&gt;="&amp;$A32,Master!$E$3:$E$532,"&lt;"&amp;($A32+1),Master!$H$3:$H$532,"captured")</f>
        <v>0</v>
      </c>
      <c r="AC32" s="10">
        <f>SUMIFS(Master!$F$3:$F$532,Master!$C$3:$C$532,AC$2,Master!$E$3:$E$532,"&gt;="&amp;$A32,Master!$E$3:$E$532,"&lt;"&amp;($A32+1),Master!$H$3:$H$532,"captured")</f>
        <v>499</v>
      </c>
      <c r="AD32" s="10">
        <f>SUMIFS(Master!$F$3:$F$532,Master!$C$3:$C$532,AD$2,Master!$E$3:$E$532,"&gt;="&amp;$A32,Master!$E$3:$E$532,"&lt;"&amp;($A32+1),Master!$H$3:$H$532,"captured")</f>
        <v>0</v>
      </c>
      <c r="AE32" s="10">
        <f>SUMIFS(Master!$F$3:$F$532,Master!$C$3:$C$532,AE$2,Master!$E$3:$E$532,"&gt;="&amp;$A32,Master!$E$3:$E$532,"&lt;"&amp;($A32+1),Master!$H$3:$H$532,"captured")</f>
        <v>49</v>
      </c>
      <c r="AF32" s="10">
        <f>SUMIFS(Master!$F$3:$F$532,Master!$C$3:$C$532,AF$2,Master!$E$3:$E$532,"&gt;="&amp;$A32,Master!$E$3:$E$532,"&lt;"&amp;($A32+1),Master!$H$3:$H$532,"captured")</f>
        <v>0</v>
      </c>
      <c r="AG32" s="10">
        <f>SUMIFS(Master!$F$3:$F$532,Master!$C$3:$C$532,AG$2,Master!$E$3:$E$532,"&gt;="&amp;$A32,Master!$E$3:$E$532,"&lt;"&amp;($A32+1),Master!$H$3:$H$532,"captured")</f>
        <v>0</v>
      </c>
      <c r="AH32" s="10">
        <f>SUMIFS(Master!$F$3:$F$532,Master!$C$3:$C$532,AH$2,Master!$E$3:$E$532,"&gt;="&amp;$A32,Master!$E$3:$E$532,"&lt;"&amp;($A32+1),Master!$H$3:$H$532,"captured")</f>
        <v>0</v>
      </c>
      <c r="AI32" s="10">
        <f>SUMIFS(Master!$F$3:$F$532,Master!$C$3:$C$532,AI$2,Master!$E$3:$E$532,"&gt;="&amp;$A32,Master!$E$3:$E$532,"&lt;"&amp;($A32+1),Master!$H$3:$H$532,"captured")</f>
        <v>0</v>
      </c>
      <c r="AJ32" s="10">
        <f>SUMIFS(Master!$F$3:$F$532,Master!$C$3:$C$532,AJ$2,Master!$E$3:$E$532,"&gt;="&amp;$A32,Master!$E$3:$E$532,"&lt;"&amp;($A32+1),Master!$H$3:$H$532,"captured")</f>
        <v>99</v>
      </c>
      <c r="AK32" s="10">
        <f>SUMIFS(Master!$F$3:$F$532,Master!$C$3:$C$532,AK$2,Master!$E$3:$E$532,"&gt;="&amp;$A32,Master!$E$3:$E$532,"&lt;"&amp;($A32+1),Master!$H$3:$H$532,"captured")</f>
        <v>0</v>
      </c>
      <c r="AL32" s="10">
        <f>SUMIFS(Master!$F$3:$F$532,Master!$C$3:$C$532,AL$2,Master!$E$3:$E$532,"&gt;="&amp;$A32,Master!$E$3:$E$532,"&lt;"&amp;($A32+1),Master!$H$3:$H$532,"captured")</f>
        <v>299</v>
      </c>
      <c r="AM32" s="10">
        <f>SUMIFS(Master!$F$3:$F$532,Master!$C$3:$C$532,AM$2,Master!$E$3:$E$532,"&gt;="&amp;$A32,Master!$E$3:$E$532,"&lt;"&amp;($A32+1),Master!$H$3:$H$532,"captured")</f>
        <v>0</v>
      </c>
      <c r="AN32" s="10">
        <f>SUMIFS(Master!$F$3:$F$532,Master!$C$3:$C$532,AN$2,Master!$E$3:$E$532,"&gt;="&amp;$A32,Master!$E$3:$E$532,"&lt;"&amp;($A32+1),Master!$H$3:$H$532,"captured")</f>
        <v>0</v>
      </c>
      <c r="AO32" s="10">
        <f>SUMIFS(Master!$F$3:$F$532,Master!$C$3:$C$532,AO$2,Master!$E$3:$E$532,"&gt;="&amp;$A32,Master!$E$3:$E$532,"&lt;"&amp;($A32+1),Master!$H$3:$H$532,"captured")</f>
        <v>499</v>
      </c>
    </row>
  </sheetData>
  <mergeCells count="1">
    <mergeCell ref="A1:AO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6"/>
  <sheetViews>
    <sheetView workbookViewId="0">
      <selection activeCell="I30" sqref="I30"/>
    </sheetView>
  </sheetViews>
  <sheetFormatPr defaultRowHeight="15" x14ac:dyDescent="0.25"/>
  <cols>
    <col min="1" max="1" width="18.140625" customWidth="1"/>
    <col min="2" max="2" width="16.28515625" customWidth="1"/>
    <col min="3" max="3" width="10.85546875" customWidth="1"/>
    <col min="4" max="4" width="6.140625" bestFit="1" customWidth="1"/>
    <col min="5" max="5" width="7.28515625" style="20" bestFit="1" customWidth="1"/>
    <col min="6" max="6" width="11.28515625" bestFit="1" customWidth="1"/>
    <col min="7" max="7" width="22" bestFit="1" customWidth="1"/>
    <col min="8" max="8" width="18.140625" bestFit="1" customWidth="1"/>
    <col min="9" max="9" width="22" bestFit="1" customWidth="1"/>
    <col min="10" max="10" width="23.140625" bestFit="1" customWidth="1"/>
    <col min="11" max="11" width="27" bestFit="1" customWidth="1"/>
    <col min="12" max="15" width="4" bestFit="1" customWidth="1"/>
    <col min="16" max="22" width="5" bestFit="1" customWidth="1"/>
    <col min="23" max="23" width="7.28515625" bestFit="1" customWidth="1"/>
    <col min="24" max="24" width="11.28515625" bestFit="1" customWidth="1"/>
  </cols>
  <sheetData>
    <row r="3" spans="1:6" x14ac:dyDescent="0.25">
      <c r="A3" s="17" t="s">
        <v>636</v>
      </c>
      <c r="B3" s="17" t="s">
        <v>637</v>
      </c>
    </row>
    <row r="4" spans="1:6" x14ac:dyDescent="0.25">
      <c r="A4" s="17" t="s">
        <v>633</v>
      </c>
      <c r="B4" t="s">
        <v>40</v>
      </c>
      <c r="C4" t="s">
        <v>66</v>
      </c>
      <c r="D4" t="s">
        <v>53</v>
      </c>
      <c r="E4" s="20" t="s">
        <v>634</v>
      </c>
      <c r="F4" t="s">
        <v>635</v>
      </c>
    </row>
    <row r="5" spans="1:6" x14ac:dyDescent="0.25">
      <c r="A5" s="18">
        <v>1</v>
      </c>
      <c r="B5" s="19">
        <v>10142</v>
      </c>
      <c r="C5" s="19"/>
      <c r="D5" s="19">
        <v>299</v>
      </c>
      <c r="E5" s="21"/>
      <c r="F5" s="19">
        <v>10441</v>
      </c>
    </row>
    <row r="6" spans="1:6" x14ac:dyDescent="0.25">
      <c r="A6" s="18">
        <v>2</v>
      </c>
      <c r="B6" s="19">
        <v>2141</v>
      </c>
      <c r="C6" s="19"/>
      <c r="D6" s="19">
        <v>1499</v>
      </c>
      <c r="E6" s="21"/>
      <c r="F6" s="19">
        <v>3640</v>
      </c>
    </row>
    <row r="7" spans="1:6" x14ac:dyDescent="0.25">
      <c r="A7" s="18">
        <v>3</v>
      </c>
      <c r="B7" s="19">
        <v>2986</v>
      </c>
      <c r="C7" s="19"/>
      <c r="D7" s="19"/>
      <c r="E7" s="21"/>
      <c r="F7" s="19">
        <v>2986</v>
      </c>
    </row>
    <row r="8" spans="1:6" x14ac:dyDescent="0.25">
      <c r="A8" s="18">
        <v>4</v>
      </c>
      <c r="B8" s="19">
        <v>6941</v>
      </c>
      <c r="C8" s="19"/>
      <c r="D8" s="19"/>
      <c r="E8" s="21"/>
      <c r="F8" s="19">
        <v>6941</v>
      </c>
    </row>
    <row r="9" spans="1:6" x14ac:dyDescent="0.25">
      <c r="A9" s="18">
        <v>5</v>
      </c>
      <c r="B9" s="19">
        <v>5440</v>
      </c>
      <c r="C9" s="19"/>
      <c r="D9" s="19">
        <v>499</v>
      </c>
      <c r="E9" s="21"/>
      <c r="F9" s="19">
        <v>5939</v>
      </c>
    </row>
    <row r="10" spans="1:6" x14ac:dyDescent="0.25">
      <c r="A10" s="18">
        <v>6</v>
      </c>
      <c r="B10" s="19">
        <v>6688</v>
      </c>
      <c r="C10" s="19">
        <v>799</v>
      </c>
      <c r="D10" s="19">
        <v>49</v>
      </c>
      <c r="E10" s="21"/>
      <c r="F10" s="19">
        <v>7536</v>
      </c>
    </row>
    <row r="11" spans="1:6" x14ac:dyDescent="0.25">
      <c r="A11" s="18">
        <v>7</v>
      </c>
      <c r="B11" s="19">
        <v>11638</v>
      </c>
      <c r="C11" s="19">
        <v>1999</v>
      </c>
      <c r="D11" s="19">
        <v>2297</v>
      </c>
      <c r="E11" s="21"/>
      <c r="F11" s="19">
        <v>15934</v>
      </c>
    </row>
    <row r="12" spans="1:6" x14ac:dyDescent="0.25">
      <c r="A12" s="18">
        <v>8</v>
      </c>
      <c r="B12" s="19">
        <v>7086</v>
      </c>
      <c r="C12" s="19">
        <v>49</v>
      </c>
      <c r="D12" s="19">
        <v>299</v>
      </c>
      <c r="E12" s="21"/>
      <c r="F12" s="19">
        <v>7434</v>
      </c>
    </row>
    <row r="13" spans="1:6" x14ac:dyDescent="0.25">
      <c r="A13" s="18">
        <v>9</v>
      </c>
      <c r="B13" s="19">
        <v>3588</v>
      </c>
      <c r="C13" s="19"/>
      <c r="D13" s="19">
        <v>547</v>
      </c>
      <c r="E13" s="21"/>
      <c r="F13" s="19">
        <v>4135</v>
      </c>
    </row>
    <row r="14" spans="1:6" x14ac:dyDescent="0.25">
      <c r="A14" s="18">
        <v>10</v>
      </c>
      <c r="B14" s="19">
        <v>7639</v>
      </c>
      <c r="C14" s="19">
        <v>4999</v>
      </c>
      <c r="D14" s="19">
        <v>399</v>
      </c>
      <c r="E14" s="21"/>
      <c r="F14" s="19">
        <v>13037</v>
      </c>
    </row>
    <row r="15" spans="1:6" x14ac:dyDescent="0.25">
      <c r="A15" s="18">
        <v>11</v>
      </c>
      <c r="B15" s="19">
        <v>8793</v>
      </c>
      <c r="C15" s="19">
        <v>149</v>
      </c>
      <c r="D15" s="19">
        <v>1499</v>
      </c>
      <c r="E15" s="21"/>
      <c r="F15" s="19">
        <v>10441</v>
      </c>
    </row>
    <row r="16" spans="1:6" x14ac:dyDescent="0.25">
      <c r="A16" s="18">
        <v>12</v>
      </c>
      <c r="B16" s="19">
        <v>9389</v>
      </c>
      <c r="C16" s="19"/>
      <c r="D16" s="19">
        <v>998</v>
      </c>
      <c r="E16" s="21"/>
      <c r="F16" s="19">
        <v>10387</v>
      </c>
    </row>
    <row r="17" spans="1:6" x14ac:dyDescent="0.25">
      <c r="A17" s="18">
        <v>13</v>
      </c>
      <c r="B17" s="19">
        <v>11890</v>
      </c>
      <c r="C17" s="19">
        <v>4999</v>
      </c>
      <c r="D17" s="19">
        <v>2999</v>
      </c>
      <c r="E17" s="21"/>
      <c r="F17" s="19">
        <v>19888</v>
      </c>
    </row>
    <row r="18" spans="1:6" x14ac:dyDescent="0.25">
      <c r="A18" s="18">
        <v>14</v>
      </c>
      <c r="B18" s="19">
        <v>5790</v>
      </c>
      <c r="C18" s="19"/>
      <c r="D18" s="19">
        <v>598</v>
      </c>
      <c r="E18" s="21"/>
      <c r="F18" s="19">
        <v>6388</v>
      </c>
    </row>
    <row r="19" spans="1:6" x14ac:dyDescent="0.25">
      <c r="A19" s="18">
        <v>15</v>
      </c>
      <c r="B19" s="19">
        <v>7839</v>
      </c>
      <c r="C19" s="19"/>
      <c r="D19" s="19">
        <v>399</v>
      </c>
      <c r="E19" s="21"/>
      <c r="F19" s="19">
        <v>8238</v>
      </c>
    </row>
    <row r="20" spans="1:6" x14ac:dyDescent="0.25">
      <c r="A20" s="18">
        <v>16</v>
      </c>
      <c r="B20" s="19">
        <v>10134</v>
      </c>
      <c r="C20" s="19"/>
      <c r="D20" s="19">
        <v>548</v>
      </c>
      <c r="E20" s="21"/>
      <c r="F20" s="19">
        <v>10682</v>
      </c>
    </row>
    <row r="21" spans="1:6" x14ac:dyDescent="0.25">
      <c r="A21" s="18">
        <v>17</v>
      </c>
      <c r="B21" s="19">
        <v>12439</v>
      </c>
      <c r="C21" s="19"/>
      <c r="D21" s="19">
        <v>299</v>
      </c>
      <c r="E21" s="21"/>
      <c r="F21" s="19">
        <v>12738</v>
      </c>
    </row>
    <row r="22" spans="1:6" x14ac:dyDescent="0.25">
      <c r="A22" s="18">
        <v>18</v>
      </c>
      <c r="B22" s="19">
        <v>12088</v>
      </c>
      <c r="C22" s="19"/>
      <c r="D22" s="19"/>
      <c r="E22" s="21"/>
      <c r="F22" s="19">
        <v>12088</v>
      </c>
    </row>
    <row r="23" spans="1:6" x14ac:dyDescent="0.25">
      <c r="A23" s="18">
        <v>19</v>
      </c>
      <c r="B23" s="19">
        <v>7239</v>
      </c>
      <c r="C23" s="19">
        <v>4999</v>
      </c>
      <c r="D23" s="19">
        <v>99</v>
      </c>
      <c r="E23" s="21"/>
      <c r="F23" s="19">
        <v>12337</v>
      </c>
    </row>
    <row r="24" spans="1:6" x14ac:dyDescent="0.25">
      <c r="A24" s="18">
        <v>20</v>
      </c>
      <c r="B24" s="19">
        <v>4193</v>
      </c>
      <c r="C24" s="19"/>
      <c r="D24" s="19">
        <v>98</v>
      </c>
      <c r="E24" s="21"/>
      <c r="F24" s="19">
        <v>4291</v>
      </c>
    </row>
    <row r="25" spans="1:6" x14ac:dyDescent="0.25">
      <c r="A25" s="18">
        <v>21</v>
      </c>
      <c r="B25" s="19">
        <v>3887</v>
      </c>
      <c r="C25" s="19"/>
      <c r="D25" s="19">
        <v>4999</v>
      </c>
      <c r="E25" s="21"/>
      <c r="F25" s="19">
        <v>8886</v>
      </c>
    </row>
    <row r="26" spans="1:6" x14ac:dyDescent="0.25">
      <c r="A26" s="18">
        <v>22</v>
      </c>
      <c r="B26" s="19">
        <v>11336</v>
      </c>
      <c r="C26" s="19"/>
      <c r="D26" s="19">
        <v>1198</v>
      </c>
      <c r="E26" s="21"/>
      <c r="F26" s="19">
        <v>12534</v>
      </c>
    </row>
    <row r="27" spans="1:6" x14ac:dyDescent="0.25">
      <c r="A27" s="18">
        <v>23</v>
      </c>
      <c r="B27" s="19">
        <v>642</v>
      </c>
      <c r="C27" s="19">
        <v>1999</v>
      </c>
      <c r="D27" s="19">
        <v>399</v>
      </c>
      <c r="E27" s="21"/>
      <c r="F27" s="19">
        <v>3040</v>
      </c>
    </row>
    <row r="28" spans="1:6" x14ac:dyDescent="0.25">
      <c r="A28" s="18">
        <v>24</v>
      </c>
      <c r="B28" s="19">
        <v>3139</v>
      </c>
      <c r="C28" s="19">
        <v>149</v>
      </c>
      <c r="D28" s="19"/>
      <c r="E28" s="21"/>
      <c r="F28" s="19">
        <v>3288</v>
      </c>
    </row>
    <row r="29" spans="1:6" x14ac:dyDescent="0.25">
      <c r="A29" s="18">
        <v>25</v>
      </c>
      <c r="B29" s="19">
        <v>11184</v>
      </c>
      <c r="C29" s="19">
        <v>2999</v>
      </c>
      <c r="D29" s="19">
        <v>1499</v>
      </c>
      <c r="E29" s="21"/>
      <c r="F29" s="19">
        <v>15682</v>
      </c>
    </row>
    <row r="30" spans="1:6" x14ac:dyDescent="0.25">
      <c r="A30" s="18">
        <v>26</v>
      </c>
      <c r="B30" s="19">
        <v>3041</v>
      </c>
      <c r="C30" s="19"/>
      <c r="D30" s="19">
        <v>2197</v>
      </c>
      <c r="E30" s="21"/>
      <c r="F30" s="19">
        <v>5238</v>
      </c>
    </row>
    <row r="31" spans="1:6" x14ac:dyDescent="0.25">
      <c r="A31" s="18">
        <v>27</v>
      </c>
      <c r="B31" s="19">
        <v>10238</v>
      </c>
      <c r="C31" s="19">
        <v>4047</v>
      </c>
      <c r="D31" s="19">
        <v>1499</v>
      </c>
      <c r="E31" s="21"/>
      <c r="F31" s="19">
        <v>15784</v>
      </c>
    </row>
    <row r="32" spans="1:6" x14ac:dyDescent="0.25">
      <c r="A32" s="18">
        <v>28</v>
      </c>
      <c r="B32" s="19">
        <v>4493</v>
      </c>
      <c r="C32" s="19">
        <v>1999</v>
      </c>
      <c r="D32" s="19">
        <v>2998</v>
      </c>
      <c r="E32" s="21"/>
      <c r="F32" s="19">
        <v>9490</v>
      </c>
    </row>
    <row r="33" spans="1:6" x14ac:dyDescent="0.25">
      <c r="A33" s="18">
        <v>29</v>
      </c>
      <c r="B33" s="19">
        <v>5786</v>
      </c>
      <c r="C33" s="19">
        <v>998</v>
      </c>
      <c r="D33" s="19">
        <v>6497</v>
      </c>
      <c r="E33" s="21"/>
      <c r="F33" s="19">
        <v>13281</v>
      </c>
    </row>
    <row r="34" spans="1:6" x14ac:dyDescent="0.25">
      <c r="A34" s="18">
        <v>30</v>
      </c>
      <c r="B34" s="19">
        <v>7384</v>
      </c>
      <c r="C34" s="19"/>
      <c r="D34" s="19">
        <v>499</v>
      </c>
      <c r="E34" s="21"/>
      <c r="F34" s="19">
        <v>7883</v>
      </c>
    </row>
    <row r="35" spans="1:6" x14ac:dyDescent="0.25">
      <c r="A35" s="18">
        <v>31</v>
      </c>
      <c r="B35" s="19">
        <v>1743</v>
      </c>
      <c r="C35" s="19">
        <v>49</v>
      </c>
      <c r="D35" s="19">
        <v>2396</v>
      </c>
      <c r="E35" s="21"/>
      <c r="F35" s="19">
        <v>4188</v>
      </c>
    </row>
    <row r="36" spans="1:6" x14ac:dyDescent="0.25">
      <c r="A36" s="18">
        <v>32</v>
      </c>
      <c r="B36" s="19">
        <v>7539</v>
      </c>
      <c r="C36" s="19">
        <v>1999</v>
      </c>
      <c r="D36" s="19">
        <v>3547</v>
      </c>
      <c r="E36" s="21"/>
      <c r="F36" s="19">
        <v>13085</v>
      </c>
    </row>
    <row r="37" spans="1:6" x14ac:dyDescent="0.25">
      <c r="A37" s="18">
        <v>33</v>
      </c>
      <c r="B37" s="19">
        <v>10190</v>
      </c>
      <c r="C37" s="19"/>
      <c r="D37" s="19">
        <v>149</v>
      </c>
      <c r="E37" s="21"/>
      <c r="F37" s="19">
        <v>10339</v>
      </c>
    </row>
    <row r="38" spans="1:6" x14ac:dyDescent="0.25">
      <c r="A38" s="18">
        <v>34</v>
      </c>
      <c r="B38" s="19">
        <v>9635</v>
      </c>
      <c r="C38" s="19"/>
      <c r="D38" s="19">
        <v>399</v>
      </c>
      <c r="E38" s="21"/>
      <c r="F38" s="19">
        <v>10034</v>
      </c>
    </row>
    <row r="39" spans="1:6" x14ac:dyDescent="0.25">
      <c r="A39" s="18">
        <v>35</v>
      </c>
      <c r="B39" s="19">
        <v>8688</v>
      </c>
      <c r="C39" s="19"/>
      <c r="D39" s="19">
        <v>598</v>
      </c>
      <c r="E39" s="21"/>
      <c r="F39" s="19">
        <v>9286</v>
      </c>
    </row>
    <row r="40" spans="1:6" x14ac:dyDescent="0.25">
      <c r="A40" s="18">
        <v>36</v>
      </c>
      <c r="B40" s="19">
        <v>6436</v>
      </c>
      <c r="C40" s="19">
        <v>999</v>
      </c>
      <c r="D40" s="19"/>
      <c r="E40" s="21"/>
      <c r="F40" s="19">
        <v>7435</v>
      </c>
    </row>
    <row r="41" spans="1:6" x14ac:dyDescent="0.25">
      <c r="A41" s="18">
        <v>37</v>
      </c>
      <c r="B41" s="19">
        <v>13484</v>
      </c>
      <c r="C41" s="19">
        <v>1999</v>
      </c>
      <c r="D41" s="19">
        <v>99</v>
      </c>
      <c r="E41" s="21"/>
      <c r="F41" s="19">
        <v>15582</v>
      </c>
    </row>
    <row r="42" spans="1:6" x14ac:dyDescent="0.25">
      <c r="A42" s="18">
        <v>38</v>
      </c>
      <c r="B42" s="19">
        <v>3342</v>
      </c>
      <c r="C42" s="19"/>
      <c r="D42" s="19">
        <v>598</v>
      </c>
      <c r="E42" s="21"/>
      <c r="F42" s="19">
        <v>3940</v>
      </c>
    </row>
    <row r="43" spans="1:6" x14ac:dyDescent="0.25">
      <c r="A43" s="18">
        <v>39</v>
      </c>
      <c r="B43" s="19">
        <v>8242</v>
      </c>
      <c r="C43" s="19">
        <v>10997</v>
      </c>
      <c r="D43" s="19">
        <v>399</v>
      </c>
      <c r="E43" s="21"/>
      <c r="F43" s="19">
        <v>19638</v>
      </c>
    </row>
    <row r="44" spans="1:6" x14ac:dyDescent="0.25">
      <c r="A44" s="18">
        <v>40</v>
      </c>
      <c r="B44" s="19">
        <v>3838</v>
      </c>
      <c r="C44" s="19">
        <v>149</v>
      </c>
      <c r="D44" s="19">
        <v>548</v>
      </c>
      <c r="E44" s="21"/>
      <c r="F44" s="19">
        <v>4535</v>
      </c>
    </row>
    <row r="45" spans="1:6" x14ac:dyDescent="0.25">
      <c r="A45" s="18" t="s">
        <v>634</v>
      </c>
      <c r="B45" s="19"/>
      <c r="C45" s="19"/>
      <c r="D45" s="19"/>
      <c r="E45" s="21"/>
      <c r="F45" s="19"/>
    </row>
    <row r="46" spans="1:6" x14ac:dyDescent="0.25">
      <c r="A46" s="18" t="s">
        <v>635</v>
      </c>
      <c r="B46" s="19">
        <v>288350</v>
      </c>
      <c r="C46" s="19">
        <v>46376</v>
      </c>
      <c r="D46" s="19">
        <v>43943</v>
      </c>
      <c r="E46" s="21"/>
      <c r="F46" s="19">
        <v>378669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5"/>
  <sheetViews>
    <sheetView workbookViewId="0">
      <selection activeCell="F34" sqref="F34"/>
    </sheetView>
  </sheetViews>
  <sheetFormatPr defaultRowHeight="15" x14ac:dyDescent="0.25"/>
  <cols>
    <col min="1" max="1" width="13.140625" bestFit="1" customWidth="1"/>
    <col min="2" max="2" width="22" bestFit="1" customWidth="1"/>
    <col min="3" max="3" width="18.140625" customWidth="1"/>
  </cols>
  <sheetData>
    <row r="3" spans="1:3" x14ac:dyDescent="0.25">
      <c r="A3" s="17" t="s">
        <v>633</v>
      </c>
      <c r="B3" t="s">
        <v>638</v>
      </c>
      <c r="C3" t="s">
        <v>639</v>
      </c>
    </row>
    <row r="4" spans="1:3" x14ac:dyDescent="0.25">
      <c r="A4" s="18">
        <v>1</v>
      </c>
      <c r="B4" s="19">
        <v>9</v>
      </c>
      <c r="C4" s="19">
        <v>6.7597666125667439</v>
      </c>
    </row>
    <row r="5" spans="1:3" x14ac:dyDescent="0.25">
      <c r="A5" s="18">
        <v>2</v>
      </c>
      <c r="B5" s="19">
        <v>10</v>
      </c>
      <c r="C5" s="19">
        <v>7.6478028909243596</v>
      </c>
    </row>
    <row r="6" spans="1:3" x14ac:dyDescent="0.25">
      <c r="A6" s="18">
        <v>3</v>
      </c>
      <c r="B6" s="19">
        <v>14</v>
      </c>
      <c r="C6" s="19">
        <v>10.097328549189864</v>
      </c>
    </row>
    <row r="7" spans="1:3" x14ac:dyDescent="0.25">
      <c r="A7" s="18">
        <v>4</v>
      </c>
      <c r="B7" s="19">
        <v>9</v>
      </c>
      <c r="C7" s="19">
        <v>7.5498344352707498</v>
      </c>
    </row>
    <row r="8" spans="1:3" x14ac:dyDescent="0.25">
      <c r="A8" s="18">
        <v>5</v>
      </c>
      <c r="B8" s="19">
        <v>11</v>
      </c>
      <c r="C8" s="19">
        <v>8.112840562440331</v>
      </c>
    </row>
    <row r="9" spans="1:3" x14ac:dyDescent="0.25">
      <c r="A9" s="18">
        <v>6</v>
      </c>
      <c r="B9" s="19">
        <v>14</v>
      </c>
      <c r="C9" s="19">
        <v>8.5793004170687102</v>
      </c>
    </row>
    <row r="10" spans="1:3" x14ac:dyDescent="0.25">
      <c r="A10" s="18">
        <v>7</v>
      </c>
      <c r="B10" s="19">
        <v>16</v>
      </c>
      <c r="C10" s="19">
        <v>9.619424792228136</v>
      </c>
    </row>
    <row r="11" spans="1:3" x14ac:dyDescent="0.25">
      <c r="A11" s="18">
        <v>8</v>
      </c>
      <c r="B11" s="19">
        <v>16</v>
      </c>
      <c r="C11" s="19">
        <v>8.6245772843272341</v>
      </c>
    </row>
    <row r="12" spans="1:3" x14ac:dyDescent="0.25">
      <c r="A12" s="18">
        <v>9</v>
      </c>
      <c r="B12" s="19">
        <v>15</v>
      </c>
      <c r="C12" s="19">
        <v>8.2155485615933763</v>
      </c>
    </row>
    <row r="13" spans="1:3" x14ac:dyDescent="0.25">
      <c r="A13" s="18">
        <v>10</v>
      </c>
      <c r="B13" s="19">
        <v>13</v>
      </c>
      <c r="C13" s="19">
        <v>5.6839855919838111</v>
      </c>
    </row>
    <row r="14" spans="1:3" x14ac:dyDescent="0.25">
      <c r="A14" s="18">
        <v>11</v>
      </c>
      <c r="B14" s="19">
        <v>9</v>
      </c>
      <c r="C14" s="19">
        <v>9.270622668212317</v>
      </c>
    </row>
    <row r="15" spans="1:3" x14ac:dyDescent="0.25">
      <c r="A15" s="18">
        <v>12</v>
      </c>
      <c r="B15" s="19">
        <v>13</v>
      </c>
      <c r="C15" s="19">
        <v>9.0998731974615765</v>
      </c>
    </row>
    <row r="16" spans="1:3" x14ac:dyDescent="0.25">
      <c r="A16" s="18">
        <v>13</v>
      </c>
      <c r="B16" s="19">
        <v>12</v>
      </c>
      <c r="C16" s="19">
        <v>7.6870611478580742</v>
      </c>
    </row>
    <row r="17" spans="1:3" x14ac:dyDescent="0.25">
      <c r="A17" s="18">
        <v>14</v>
      </c>
      <c r="B17" s="19">
        <v>12</v>
      </c>
      <c r="C17" s="19">
        <v>9.2388343811141844</v>
      </c>
    </row>
    <row r="18" spans="1:3" x14ac:dyDescent="0.25">
      <c r="A18" s="18">
        <v>15</v>
      </c>
      <c r="B18" s="19">
        <v>12</v>
      </c>
      <c r="C18" s="19">
        <v>9.2388343811141844</v>
      </c>
    </row>
    <row r="19" spans="1:3" x14ac:dyDescent="0.25">
      <c r="A19" s="18">
        <v>16</v>
      </c>
      <c r="B19" s="19">
        <v>18</v>
      </c>
      <c r="C19" s="19">
        <v>9.9587384034442472</v>
      </c>
    </row>
    <row r="20" spans="1:3" x14ac:dyDescent="0.25">
      <c r="A20" s="18">
        <v>17</v>
      </c>
      <c r="B20" s="19">
        <v>12</v>
      </c>
      <c r="C20" s="19">
        <v>9.4082491267370472</v>
      </c>
    </row>
    <row r="21" spans="1:3" x14ac:dyDescent="0.25">
      <c r="A21" s="18">
        <v>18</v>
      </c>
      <c r="B21" s="19">
        <v>12</v>
      </c>
      <c r="C21" s="19">
        <v>6.0220554323875497</v>
      </c>
    </row>
    <row r="22" spans="1:3" x14ac:dyDescent="0.25">
      <c r="A22" s="18">
        <v>19</v>
      </c>
      <c r="B22" s="19">
        <v>13</v>
      </c>
      <c r="C22" s="19">
        <v>6.9981682515174084</v>
      </c>
    </row>
    <row r="23" spans="1:3" x14ac:dyDescent="0.25">
      <c r="A23" s="18">
        <v>20</v>
      </c>
      <c r="B23" s="19">
        <v>9</v>
      </c>
      <c r="C23" s="19">
        <v>10.906165442371213</v>
      </c>
    </row>
    <row r="24" spans="1:3" x14ac:dyDescent="0.25">
      <c r="A24" s="18">
        <v>21</v>
      </c>
      <c r="B24" s="19">
        <v>14</v>
      </c>
      <c r="C24" s="19">
        <v>8.6713498195095156</v>
      </c>
    </row>
    <row r="25" spans="1:3" x14ac:dyDescent="0.25">
      <c r="A25" s="18">
        <v>22</v>
      </c>
      <c r="B25" s="19">
        <v>16</v>
      </c>
      <c r="C25" s="19">
        <v>6.8796196600296637</v>
      </c>
    </row>
    <row r="26" spans="1:3" x14ac:dyDescent="0.25">
      <c r="A26" s="18">
        <v>23</v>
      </c>
      <c r="B26" s="19">
        <v>10</v>
      </c>
      <c r="C26" s="19">
        <v>6.436872959976407</v>
      </c>
    </row>
    <row r="27" spans="1:3" x14ac:dyDescent="0.25">
      <c r="A27" s="18">
        <v>24</v>
      </c>
      <c r="B27" s="19">
        <v>12</v>
      </c>
      <c r="C27" s="19">
        <v>8.2255146288296697</v>
      </c>
    </row>
    <row r="28" spans="1:3" x14ac:dyDescent="0.25">
      <c r="A28" s="18">
        <v>25</v>
      </c>
      <c r="B28" s="19">
        <v>18</v>
      </c>
      <c r="C28" s="19">
        <v>8.9736360351375417</v>
      </c>
    </row>
    <row r="29" spans="1:3" x14ac:dyDescent="0.25">
      <c r="A29" s="18">
        <v>26</v>
      </c>
      <c r="B29" s="19">
        <v>12</v>
      </c>
      <c r="C29" s="19">
        <v>10.713910532736199</v>
      </c>
    </row>
    <row r="30" spans="1:3" x14ac:dyDescent="0.25">
      <c r="A30" s="18">
        <v>27</v>
      </c>
      <c r="B30" s="19">
        <v>16</v>
      </c>
      <c r="C30" s="19">
        <v>6.9279025204843441</v>
      </c>
    </row>
    <row r="31" spans="1:3" x14ac:dyDescent="0.25">
      <c r="A31" s="18">
        <v>28</v>
      </c>
      <c r="B31" s="19">
        <v>10</v>
      </c>
      <c r="C31" s="19">
        <v>6.9474215962620818</v>
      </c>
    </row>
    <row r="32" spans="1:3" x14ac:dyDescent="0.25">
      <c r="A32" s="18">
        <v>29</v>
      </c>
      <c r="B32" s="19">
        <v>19</v>
      </c>
      <c r="C32" s="19">
        <v>7.7911330531647245</v>
      </c>
    </row>
    <row r="33" spans="1:3" x14ac:dyDescent="0.25">
      <c r="A33" s="18">
        <v>30</v>
      </c>
      <c r="B33" s="19">
        <v>17</v>
      </c>
      <c r="C33" s="19">
        <v>8.1389586048228857</v>
      </c>
    </row>
    <row r="34" spans="1:3" x14ac:dyDescent="0.25">
      <c r="A34" s="18">
        <v>31</v>
      </c>
      <c r="B34" s="19">
        <v>12</v>
      </c>
      <c r="C34" s="19">
        <v>6.7756247615323932</v>
      </c>
    </row>
    <row r="35" spans="1:3" x14ac:dyDescent="0.25">
      <c r="A35" s="18">
        <v>32</v>
      </c>
      <c r="B35" s="19">
        <v>15</v>
      </c>
      <c r="C35" s="19">
        <v>8.4250194301922896</v>
      </c>
    </row>
    <row r="36" spans="1:3" x14ac:dyDescent="0.25">
      <c r="A36" s="18">
        <v>33</v>
      </c>
      <c r="B36" s="19">
        <v>11</v>
      </c>
      <c r="C36" s="19">
        <v>7.7986012843058692</v>
      </c>
    </row>
    <row r="37" spans="1:3" x14ac:dyDescent="0.25">
      <c r="A37" s="18">
        <v>34</v>
      </c>
      <c r="B37" s="19">
        <v>16</v>
      </c>
      <c r="C37" s="19">
        <v>7.8142498040438921</v>
      </c>
    </row>
    <row r="38" spans="1:3" x14ac:dyDescent="0.25">
      <c r="A38" s="18">
        <v>35</v>
      </c>
      <c r="B38" s="19">
        <v>14</v>
      </c>
      <c r="C38" s="19">
        <v>11.069461003463889</v>
      </c>
    </row>
    <row r="39" spans="1:3" x14ac:dyDescent="0.25">
      <c r="A39" s="18">
        <v>36</v>
      </c>
      <c r="B39" s="19">
        <v>15</v>
      </c>
      <c r="C39" s="19">
        <v>10.762810750740741</v>
      </c>
    </row>
    <row r="40" spans="1:3" x14ac:dyDescent="0.25">
      <c r="A40" s="18">
        <v>37</v>
      </c>
      <c r="B40" s="19">
        <v>18</v>
      </c>
      <c r="C40" s="19">
        <v>11.47788439847783</v>
      </c>
    </row>
    <row r="41" spans="1:3" x14ac:dyDescent="0.25">
      <c r="A41" s="18">
        <v>38</v>
      </c>
      <c r="B41" s="19">
        <v>10</v>
      </c>
      <c r="C41" s="19">
        <v>7.9449494682269766</v>
      </c>
    </row>
    <row r="42" spans="1:3" x14ac:dyDescent="0.25">
      <c r="A42" s="18">
        <v>39</v>
      </c>
      <c r="B42" s="19">
        <v>12</v>
      </c>
      <c r="C42" s="19">
        <v>8.1589326396399304</v>
      </c>
    </row>
    <row r="43" spans="1:3" x14ac:dyDescent="0.25">
      <c r="A43" s="18">
        <v>40</v>
      </c>
      <c r="B43" s="19">
        <v>15</v>
      </c>
      <c r="C43" s="19">
        <v>9.1062511274657041</v>
      </c>
    </row>
    <row r="44" spans="1:3" x14ac:dyDescent="0.25">
      <c r="A44" s="18" t="s">
        <v>634</v>
      </c>
      <c r="B44" s="19"/>
      <c r="C44" s="19"/>
    </row>
    <row r="45" spans="1:3" x14ac:dyDescent="0.25">
      <c r="A45" s="18" t="s">
        <v>635</v>
      </c>
      <c r="B45" s="19">
        <v>531</v>
      </c>
      <c r="C45" s="19">
        <v>8.4925483310845973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Rules_and_Assumptions</vt:lpstr>
      <vt:lpstr>Master</vt:lpstr>
      <vt:lpstr>Merchant_Region_Map</vt:lpstr>
      <vt:lpstr>Daily_Merchant_Pivot</vt:lpstr>
      <vt:lpstr>Summarising Pivot</vt:lpstr>
      <vt:lpstr>Count Vs Count Unique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KSM</dc:creator>
  <dc:description/>
  <cp:lastModifiedBy>Devil</cp:lastModifiedBy>
  <cp:revision>0</cp:revision>
  <dcterms:created xsi:type="dcterms:W3CDTF">2026-08-31T09:11:05Z</dcterms:created>
  <dcterms:modified xsi:type="dcterms:W3CDTF">2026-09-01T19:40:06Z</dcterms:modified>
  <dc:language>en-US</dc:language>
</cp:coreProperties>
</file>